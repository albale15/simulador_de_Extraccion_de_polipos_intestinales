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universidad\tesis\simulador_de_Extraccion_de_polipos_intestinales\INFORME\"/>
    </mc:Choice>
  </mc:AlternateContent>
  <bookViews>
    <workbookView xWindow="0" yWindow="0" windowWidth="19170" windowHeight="5175" activeTab="3"/>
  </bookViews>
  <sheets>
    <sheet name="botones y volante prueba 1 y 2 " sheetId="1" r:id="rId1"/>
    <sheet name="prueba 3 y 4 atencia fps" sheetId="2" r:id="rId2"/>
    <sheet name="prueba 3 bloque 2" sheetId="3" r:id="rId3"/>
    <sheet name="analisis de costo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19" i="3"/>
  <c r="F30" i="3"/>
  <c r="F31" i="3"/>
  <c r="F32" i="3"/>
  <c r="F33" i="3"/>
  <c r="F34" i="3"/>
  <c r="F35" i="3"/>
  <c r="F13" i="3"/>
  <c r="F14" i="3"/>
  <c r="F15" i="3"/>
  <c r="F16" i="3"/>
  <c r="F17" i="3"/>
  <c r="F18" i="3"/>
  <c r="F10" i="3"/>
  <c r="F29" i="3"/>
  <c r="F28" i="3"/>
  <c r="F27" i="3"/>
  <c r="F26" i="3"/>
  <c r="F11" i="3"/>
  <c r="F12" i="3"/>
  <c r="F9" i="3"/>
  <c r="S24" i="2"/>
  <c r="C43" i="2"/>
  <c r="D43" i="2"/>
  <c r="E43" i="2"/>
  <c r="F43" i="2"/>
  <c r="G43" i="2"/>
  <c r="R24" i="2" s="1"/>
  <c r="H43" i="2"/>
  <c r="I43" i="2"/>
  <c r="J43" i="2"/>
  <c r="K43" i="2"/>
  <c r="L43" i="2"/>
  <c r="M43" i="2"/>
  <c r="B43" i="2"/>
  <c r="AB13" i="1"/>
  <c r="Q16" i="1"/>
  <c r="AB12" i="1"/>
  <c r="O16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15" i="1"/>
  <c r="Q7" i="1"/>
  <c r="Q8" i="1"/>
  <c r="Q9" i="1"/>
  <c r="Q10" i="1"/>
  <c r="Q11" i="1"/>
  <c r="Q12" i="1"/>
  <c r="Q13" i="1"/>
  <c r="Q14" i="1"/>
  <c r="Q6" i="1"/>
  <c r="O7" i="1"/>
  <c r="O8" i="1"/>
  <c r="O9" i="1"/>
  <c r="O10" i="1"/>
  <c r="O11" i="1"/>
  <c r="O12" i="1"/>
  <c r="O13" i="1"/>
  <c r="O14" i="1"/>
  <c r="O15" i="1"/>
  <c r="O6" i="1"/>
  <c r="V14" i="1"/>
  <c r="W14" i="1" s="1"/>
  <c r="D106" i="1"/>
  <c r="V13" i="1" s="1"/>
  <c r="W13" i="1" s="1"/>
  <c r="E106" i="1"/>
  <c r="F106" i="1"/>
  <c r="V15" i="1" s="1"/>
  <c r="W15" i="1" s="1"/>
  <c r="G106" i="1"/>
  <c r="V16" i="1" s="1"/>
  <c r="W16" i="1" s="1"/>
  <c r="H106" i="1"/>
  <c r="V17" i="1" s="1"/>
  <c r="W17" i="1" s="1"/>
  <c r="I106" i="1"/>
  <c r="V18" i="1" s="1"/>
  <c r="W18" i="1" s="1"/>
  <c r="J106" i="1"/>
  <c r="V19" i="1" s="1"/>
  <c r="W19" i="1" s="1"/>
  <c r="C106" i="1"/>
  <c r="V12" i="1" s="1"/>
  <c r="W12" i="1" s="1"/>
  <c r="T24" i="2" l="1"/>
  <c r="U24" i="2" s="1"/>
  <c r="Q33" i="1"/>
  <c r="AA15" i="1" s="1"/>
  <c r="AB15" i="1" s="1"/>
  <c r="O33" i="1"/>
  <c r="AA14" i="1" s="1"/>
  <c r="AB14" i="1" s="1"/>
  <c r="AA13" i="1"/>
  <c r="AA12" i="1"/>
</calcChain>
</file>

<file path=xl/sharedStrings.xml><?xml version="1.0" encoding="utf-8"?>
<sst xmlns="http://schemas.openxmlformats.org/spreadsheetml/2006/main" count="269" uniqueCount="124">
  <si>
    <t>total</t>
  </si>
  <si>
    <t>Prueba de los 100 tiros para cada boton y encoder rotativo</t>
  </si>
  <si>
    <t>Numero de giro</t>
  </si>
  <si>
    <t>Boton 1</t>
  </si>
  <si>
    <t>Numero de Pulsacion</t>
  </si>
  <si>
    <t>Boton 2</t>
  </si>
  <si>
    <t>Boton 3</t>
  </si>
  <si>
    <t>Boton 4</t>
  </si>
  <si>
    <t>Boton Lim</t>
  </si>
  <si>
    <t>Boton Su</t>
  </si>
  <si>
    <t>Encoder Incercion</t>
  </si>
  <si>
    <t>Encoder Extraccion</t>
  </si>
  <si>
    <t>Elemento</t>
  </si>
  <si>
    <t>Número de Tiros</t>
  </si>
  <si>
    <t>Tiros Detectados</t>
  </si>
  <si>
    <t>Boton lim</t>
  </si>
  <si>
    <t>Boton su</t>
  </si>
  <si>
    <t>Porcentage de Errores</t>
  </si>
  <si>
    <t>encoder inc.</t>
  </si>
  <si>
    <t>encoder ext.</t>
  </si>
  <si>
    <t>pulsos detectados</t>
  </si>
  <si>
    <t>grados estimado por pulso</t>
  </si>
  <si>
    <t>media de grados</t>
  </si>
  <si>
    <t>Prueba de volantes &lt;10° por deteccion, con giros de 360</t>
  </si>
  <si>
    <t>grado calculado</t>
  </si>
  <si>
    <t>----</t>
  </si>
  <si>
    <t>volante 1 izq.</t>
  </si>
  <si>
    <t>volante 1 der.</t>
  </si>
  <si>
    <t>volante 2 izq.</t>
  </si>
  <si>
    <t>volante 2 der.</t>
  </si>
  <si>
    <t>Volante 1 Derecha</t>
  </si>
  <si>
    <t>Volante 1 Izquierda</t>
  </si>
  <si>
    <t>Volante 2 Izquierda</t>
  </si>
  <si>
    <t>Volante 2 Derecha</t>
  </si>
  <si>
    <t>desviacion en grados</t>
  </si>
  <si>
    <t>Prueba de Latencia con Acciones en el Endoscopio Fisico</t>
  </si>
  <si>
    <t>Promedio:</t>
  </si>
  <si>
    <t>botones</t>
  </si>
  <si>
    <t xml:space="preserve">Volantes </t>
  </si>
  <si>
    <t>Encoders</t>
  </si>
  <si>
    <t>Promedio</t>
  </si>
  <si>
    <t>Elemetos</t>
  </si>
  <si>
    <t>FPS</t>
  </si>
  <si>
    <t>Min</t>
  </si>
  <si>
    <t>Max</t>
  </si>
  <si>
    <t>Tasa de Refresco - FPS (60 fps)</t>
  </si>
  <si>
    <t>Lim:0 Su:0 B1:0 B2:0 B3:0 B4:0 E1:0 E2:0 INS:-1</t>
  </si>
  <si>
    <t>prueba 3 bloque 2</t>
  </si>
  <si>
    <t>porcentage de error</t>
  </si>
  <si>
    <t>Retroceso del endoscopio por centimetros</t>
  </si>
  <si>
    <t>Retroceso fisico cm</t>
  </si>
  <si>
    <t>Retroceso virtual cm</t>
  </si>
  <si>
    <t>Avance del endoscopio por centimetros</t>
  </si>
  <si>
    <t>Avance fisico cm</t>
  </si>
  <si>
    <t>Avance virtual cm</t>
  </si>
  <si>
    <t>Porcentage de error</t>
  </si>
  <si>
    <t>Prueba</t>
  </si>
  <si>
    <t>promedio de error:</t>
  </si>
  <si>
    <t>Componente</t>
  </si>
  <si>
    <t>Cantidad</t>
  </si>
  <si>
    <t>Costo unitario (Bs.)</t>
  </si>
  <si>
    <t>Subtotal (Bs.)</t>
  </si>
  <si>
    <t>Placa STM32 Nucleo-32</t>
  </si>
  <si>
    <t>Cable USB a Micro-USB</t>
  </si>
  <si>
    <t>Tiras de espadines hembra</t>
  </si>
  <si>
    <t>Borneras conectoras por tornillo</t>
  </si>
  <si>
    <t>Transistores TIP120</t>
  </si>
  <si>
    <t>Diodos rectificadores 1N4007</t>
  </si>
  <si>
    <t>Resistencias de 4.7 kΩ</t>
  </si>
  <si>
    <t>Resistencias de 10 kΩ</t>
  </si>
  <si>
    <t>Capacitores cerámicos de 10 nF</t>
  </si>
  <si>
    <t>Cable telefónico</t>
  </si>
  <si>
    <t>2 m</t>
  </si>
  <si>
    <t>Cable LAN</t>
  </si>
  <si>
    <t>Botones autorretorno con tuerca</t>
  </si>
  <si>
    <t>Total materiales electrónicos</t>
  </si>
  <si>
    <t>369 Bs.</t>
  </si>
  <si>
    <t>Sensor magnético I2C AS5600</t>
  </si>
  <si>
    <t>Encoders rotatorios modulares HW-040</t>
  </si>
  <si>
    <t>Motores vibradores tipo moneda</t>
  </si>
  <si>
    <t>Total módulo sensorial y háptico</t>
  </si>
  <si>
    <t>80 Bs.</t>
  </si>
  <si>
    <t>PLA para impresión 3D</t>
  </si>
  <si>
    <t>3 kg</t>
  </si>
  <si>
    <t>Tiempo de impresión 3D</t>
  </si>
  <si>
    <t>105 h</t>
  </si>
  <si>
    <t>Tornillos M3/M4 (por lote)</t>
  </si>
  <si>
    <t>Tuercas insertables M3/M4</t>
  </si>
  <si>
    <t>Tubo flexible TPU / manguera</t>
  </si>
  <si>
    <t>3 m</t>
  </si>
  <si>
    <t>Barras de silicona</t>
  </si>
  <si>
    <t>Tira de goma 1/4 de metro</t>
  </si>
  <si>
    <t>Total materiales mecánicos y fabricación</t>
  </si>
  <si>
    <t>2158 Bs.</t>
  </si>
  <si>
    <t>Concepto</t>
  </si>
  <si>
    <t>Fabricación de PCB por CNC</t>
  </si>
  <si>
    <t>Total fabricación externa</t>
  </si>
  <si>
    <t>150 Bs.</t>
  </si>
  <si>
    <t>Actividad</t>
  </si>
  <si>
    <t>Cantidad          (12h x dia)</t>
  </si>
  <si>
    <t>Costo unitario  (20Bs. x 1h)</t>
  </si>
  <si>
    <t>Diseño del circuito</t>
  </si>
  <si>
    <t>18 días</t>
  </si>
  <si>
    <t>Diseño mecánico en SolidWorks</t>
  </si>
  <si>
    <t>34 días</t>
  </si>
  <si>
    <t>Programación del circuito</t>
  </si>
  <si>
    <t>12 días</t>
  </si>
  <si>
    <t>Programación en Unity</t>
  </si>
  <si>
    <t>44 días</t>
  </si>
  <si>
    <t>Pruebas de funcionamiento</t>
  </si>
  <si>
    <t>7 días</t>
  </si>
  <si>
    <t>Soldadura y ensamblaje</t>
  </si>
  <si>
    <t>4 horas</t>
  </si>
  <si>
    <t>Total mano de obra y desarrollo</t>
  </si>
  <si>
    <t>27680 Bs.</t>
  </si>
  <si>
    <t>Categoría</t>
  </si>
  <si>
    <t>Total (Bs.)</t>
  </si>
  <si>
    <t>Materiales electrónicos</t>
  </si>
  <si>
    <t>Módulo sensorial y háptico</t>
  </si>
  <si>
    <t>Materiales mecánicos y fabricación</t>
  </si>
  <si>
    <t>Fabricación externa</t>
  </si>
  <si>
    <t>Mano de obra y desarrollo</t>
  </si>
  <si>
    <t>Costo total del prototipo</t>
  </si>
  <si>
    <t>30437 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</si>
</sst>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0" fillId="0" borderId="19" xfId="0" applyBorder="1"/>
    <xf numFmtId="0" fontId="0" fillId="0" borderId="14" xfId="0" applyBorder="1"/>
    <xf numFmtId="0" fontId="0" fillId="0" borderId="18" xfId="0" applyBorder="1"/>
    <xf numFmtId="0" fontId="1" fillId="0" borderId="23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7" xfId="0" applyBorder="1"/>
    <xf numFmtId="0" fontId="0" fillId="0" borderId="8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34" xfId="0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/>
    <xf numFmtId="0" fontId="0" fillId="0" borderId="13" xfId="0" applyBorder="1"/>
    <xf numFmtId="0" fontId="0" fillId="0" borderId="39" xfId="0" applyBorder="1"/>
    <xf numFmtId="0" fontId="0" fillId="0" borderId="6" xfId="0" applyBorder="1" applyAlignment="1">
      <alignment horizontal="center" vertical="center" wrapText="1"/>
    </xf>
    <xf numFmtId="0" fontId="0" fillId="0" borderId="0" xfId="0" quotePrefix="1"/>
    <xf numFmtId="4" fontId="0" fillId="0" borderId="26" xfId="0" applyNumberFormat="1" applyBorder="1"/>
    <xf numFmtId="0" fontId="0" fillId="0" borderId="0" xfId="0" applyAlignmen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Border="1"/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2" fontId="0" fillId="0" borderId="20" xfId="0" applyNumberFormat="1" applyBorder="1"/>
    <xf numFmtId="2" fontId="0" fillId="0" borderId="2" xfId="0" applyNumberFormat="1" applyBorder="1"/>
    <xf numFmtId="2" fontId="0" fillId="0" borderId="40" xfId="0" applyNumberFormat="1" applyBorder="1"/>
    <xf numFmtId="2" fontId="0" fillId="0" borderId="37" xfId="0" applyNumberFormat="1" applyBorder="1"/>
    <xf numFmtId="10" fontId="0" fillId="0" borderId="15" xfId="0" applyNumberFormat="1" applyBorder="1"/>
    <xf numFmtId="10" fontId="0" fillId="0" borderId="20" xfId="0" applyNumberFormat="1" applyBorder="1"/>
    <xf numFmtId="0" fontId="0" fillId="0" borderId="14" xfId="0" applyBorder="1" applyAlignment="1">
      <alignment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0" fontId="0" fillId="0" borderId="26" xfId="0" applyNumberForma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10" fontId="1" fillId="0" borderId="10" xfId="0" applyNumberFormat="1" applyFont="1" applyBorder="1"/>
    <xf numFmtId="0" fontId="0" fillId="0" borderId="25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09"/>
  <sheetViews>
    <sheetView workbookViewId="0">
      <selection activeCell="M21" sqref="M21:Q33"/>
    </sheetView>
  </sheetViews>
  <sheetFormatPr baseColWidth="10" defaultRowHeight="15" x14ac:dyDescent="0.25"/>
  <cols>
    <col min="3" max="6" width="7.7109375" bestFit="1" customWidth="1"/>
    <col min="7" max="7" width="9.85546875" bestFit="1" customWidth="1"/>
    <col min="8" max="8" width="8.85546875" bestFit="1" customWidth="1"/>
    <col min="9" max="9" width="17" bestFit="1" customWidth="1"/>
    <col min="10" max="10" width="18" bestFit="1" customWidth="1"/>
    <col min="14" max="14" width="16.140625" customWidth="1"/>
    <col min="16" max="16" width="15.28515625" customWidth="1"/>
    <col min="20" max="20" width="12.5703125" customWidth="1"/>
    <col min="21" max="21" width="15.85546875" customWidth="1"/>
    <col min="22" max="22" width="15.7109375" customWidth="1"/>
    <col min="23" max="23" width="20.85546875" customWidth="1"/>
    <col min="25" max="27" width="15.7109375" customWidth="1"/>
    <col min="28" max="28" width="32.42578125" customWidth="1"/>
    <col min="29" max="29" width="15.7109375" customWidth="1"/>
  </cols>
  <sheetData>
    <row r="2" spans="2:28" ht="15.75" thickBot="1" x14ac:dyDescent="0.3"/>
    <row r="3" spans="2:28" ht="15.75" thickBot="1" x14ac:dyDescent="0.3">
      <c r="M3" s="21" t="s">
        <v>23</v>
      </c>
      <c r="N3" s="9"/>
      <c r="O3" s="9"/>
      <c r="P3" s="9"/>
      <c r="Q3" s="10"/>
    </row>
    <row r="4" spans="2:28" ht="15.75" thickBot="1" x14ac:dyDescent="0.3">
      <c r="B4" s="8" t="s">
        <v>1</v>
      </c>
      <c r="C4" s="9"/>
      <c r="D4" s="9"/>
      <c r="E4" s="9"/>
      <c r="F4" s="9"/>
      <c r="G4" s="9"/>
      <c r="H4" s="9"/>
      <c r="I4" s="9"/>
      <c r="J4" s="10"/>
      <c r="M4" s="22"/>
      <c r="N4" s="21" t="s">
        <v>31</v>
      </c>
      <c r="O4" s="10"/>
      <c r="P4" s="23" t="s">
        <v>30</v>
      </c>
      <c r="Q4" s="24"/>
    </row>
    <row r="5" spans="2:28" ht="45.75" thickBot="1" x14ac:dyDescent="0.3">
      <c r="B5" s="11" t="s">
        <v>4</v>
      </c>
      <c r="C5" s="12" t="s">
        <v>3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3" t="s">
        <v>11</v>
      </c>
      <c r="M5" s="29" t="s">
        <v>2</v>
      </c>
      <c r="N5" s="30" t="s">
        <v>20</v>
      </c>
      <c r="O5" s="50" t="s">
        <v>21</v>
      </c>
      <c r="P5" s="31" t="s">
        <v>20</v>
      </c>
      <c r="Q5" s="50" t="s">
        <v>21</v>
      </c>
    </row>
    <row r="6" spans="2:28" x14ac:dyDescent="0.25">
      <c r="B6" s="14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15">
        <v>1</v>
      </c>
      <c r="M6" s="25">
        <v>1</v>
      </c>
      <c r="N6" s="26">
        <v>51</v>
      </c>
      <c r="O6" s="52">
        <f>360/N6</f>
        <v>7.0588235294117645</v>
      </c>
      <c r="P6" s="47">
        <v>48</v>
      </c>
      <c r="Q6" s="48">
        <f>360/P6</f>
        <v>7.5</v>
      </c>
    </row>
    <row r="7" spans="2:28" x14ac:dyDescent="0.25">
      <c r="B7" s="14">
        <v>2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0</v>
      </c>
      <c r="J7" s="15">
        <v>1</v>
      </c>
      <c r="M7" s="20">
        <v>2</v>
      </c>
      <c r="N7" s="18">
        <v>45</v>
      </c>
      <c r="O7" s="52">
        <f t="shared" ref="O7:O15" si="0">360/N7</f>
        <v>8</v>
      </c>
      <c r="P7" s="18">
        <v>46</v>
      </c>
      <c r="Q7" s="27">
        <f t="shared" ref="Q7:Q14" si="1">360/P7</f>
        <v>7.8260869565217392</v>
      </c>
    </row>
    <row r="8" spans="2:28" x14ac:dyDescent="0.25">
      <c r="B8" s="14">
        <v>3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15">
        <v>1</v>
      </c>
      <c r="M8" s="20">
        <v>3</v>
      </c>
      <c r="N8" s="18">
        <v>46</v>
      </c>
      <c r="O8" s="52">
        <f t="shared" si="0"/>
        <v>7.8260869565217392</v>
      </c>
      <c r="P8" s="18">
        <v>45</v>
      </c>
      <c r="Q8" s="27">
        <f t="shared" si="1"/>
        <v>8</v>
      </c>
    </row>
    <row r="9" spans="2:28" ht="15.75" thickBot="1" x14ac:dyDescent="0.3">
      <c r="B9" s="14">
        <v>4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15">
        <v>1</v>
      </c>
      <c r="M9" s="20">
        <v>4</v>
      </c>
      <c r="N9" s="18">
        <v>46</v>
      </c>
      <c r="O9" s="52">
        <f t="shared" si="0"/>
        <v>7.8260869565217392</v>
      </c>
      <c r="P9" s="18">
        <v>45</v>
      </c>
      <c r="Q9" s="27">
        <f t="shared" si="1"/>
        <v>8</v>
      </c>
    </row>
    <row r="10" spans="2:28" ht="15.75" thickBot="1" x14ac:dyDescent="0.3">
      <c r="B10" s="14">
        <v>5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15">
        <v>1</v>
      </c>
      <c r="M10" s="20">
        <v>5</v>
      </c>
      <c r="N10" s="18">
        <v>45</v>
      </c>
      <c r="O10" s="52">
        <f t="shared" si="0"/>
        <v>8</v>
      </c>
      <c r="P10" s="18">
        <v>46</v>
      </c>
      <c r="Q10" s="27">
        <f t="shared" si="1"/>
        <v>7.8260869565217392</v>
      </c>
      <c r="T10" s="33" t="s">
        <v>1</v>
      </c>
      <c r="U10" s="34"/>
      <c r="V10" s="34"/>
      <c r="W10" s="35"/>
      <c r="X10" s="32"/>
      <c r="Y10" s="21" t="s">
        <v>23</v>
      </c>
      <c r="Z10" s="9"/>
      <c r="AA10" s="9"/>
      <c r="AB10" s="10"/>
    </row>
    <row r="11" spans="2:28" ht="15.75" thickBot="1" x14ac:dyDescent="0.3">
      <c r="B11" s="14">
        <v>6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15">
        <v>1</v>
      </c>
      <c r="M11" s="20">
        <v>6</v>
      </c>
      <c r="N11" s="18">
        <v>45</v>
      </c>
      <c r="O11" s="52">
        <f t="shared" si="0"/>
        <v>8</v>
      </c>
      <c r="P11" s="18">
        <v>47</v>
      </c>
      <c r="Q11" s="27">
        <f t="shared" si="1"/>
        <v>7.6595744680851068</v>
      </c>
      <c r="T11" s="36" t="s">
        <v>12</v>
      </c>
      <c r="U11" s="37" t="s">
        <v>13</v>
      </c>
      <c r="V11" s="40" t="s">
        <v>14</v>
      </c>
      <c r="W11" s="41" t="s">
        <v>17</v>
      </c>
      <c r="Y11" s="36" t="s">
        <v>12</v>
      </c>
      <c r="Z11" s="37" t="s">
        <v>24</v>
      </c>
      <c r="AA11" s="37" t="s">
        <v>22</v>
      </c>
      <c r="AB11" s="38" t="s">
        <v>34</v>
      </c>
    </row>
    <row r="12" spans="2:28" x14ac:dyDescent="0.25">
      <c r="B12" s="14">
        <v>7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15">
        <v>1</v>
      </c>
      <c r="M12" s="20">
        <v>7</v>
      </c>
      <c r="N12" s="18">
        <v>46</v>
      </c>
      <c r="O12" s="52">
        <f t="shared" si="0"/>
        <v>7.8260869565217392</v>
      </c>
      <c r="P12" s="18">
        <v>45</v>
      </c>
      <c r="Q12" s="27">
        <f t="shared" si="1"/>
        <v>8</v>
      </c>
      <c r="T12" s="18" t="s">
        <v>3</v>
      </c>
      <c r="U12" s="2">
        <v>100</v>
      </c>
      <c r="V12" s="44">
        <f>C106</f>
        <v>100</v>
      </c>
      <c r="W12" s="42">
        <f>(U12-V12)/100</f>
        <v>0</v>
      </c>
      <c r="Y12" s="56" t="s">
        <v>26</v>
      </c>
      <c r="Z12" s="12">
        <v>8</v>
      </c>
      <c r="AA12" s="57">
        <f>O16</f>
        <v>7.818925831202046</v>
      </c>
      <c r="AB12" s="58">
        <f>Z12-AA12</f>
        <v>0.18107416879795402</v>
      </c>
    </row>
    <row r="13" spans="2:28" x14ac:dyDescent="0.25">
      <c r="B13" s="14">
        <v>8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15">
        <v>1</v>
      </c>
      <c r="M13" s="20">
        <v>8</v>
      </c>
      <c r="N13" s="18">
        <v>46</v>
      </c>
      <c r="O13" s="52">
        <f t="shared" si="0"/>
        <v>7.8260869565217392</v>
      </c>
      <c r="P13" s="18">
        <v>46</v>
      </c>
      <c r="Q13" s="27">
        <f t="shared" si="1"/>
        <v>7.8260869565217392</v>
      </c>
      <c r="T13" s="18" t="s">
        <v>5</v>
      </c>
      <c r="U13" s="2">
        <v>100</v>
      </c>
      <c r="V13" s="44">
        <f>D106</f>
        <v>100</v>
      </c>
      <c r="W13" s="42">
        <f>(U13-V13)/100</f>
        <v>0</v>
      </c>
      <c r="Y13" s="18" t="s">
        <v>27</v>
      </c>
      <c r="Z13" s="2">
        <v>8</v>
      </c>
      <c r="AA13" s="54">
        <f>Q16</f>
        <v>7.8297409805735443</v>
      </c>
      <c r="AB13" s="59">
        <f>Z13-AA13</f>
        <v>0.17025901942645572</v>
      </c>
    </row>
    <row r="14" spans="2:28" x14ac:dyDescent="0.25">
      <c r="B14" s="14">
        <v>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15">
        <v>0</v>
      </c>
      <c r="M14" s="20">
        <v>9</v>
      </c>
      <c r="N14" s="18">
        <v>46</v>
      </c>
      <c r="O14" s="52">
        <f t="shared" si="0"/>
        <v>7.8260869565217392</v>
      </c>
      <c r="P14" s="18">
        <v>45</v>
      </c>
      <c r="Q14" s="27">
        <f t="shared" si="1"/>
        <v>8</v>
      </c>
      <c r="T14" s="18" t="s">
        <v>6</v>
      </c>
      <c r="U14" s="2">
        <v>100</v>
      </c>
      <c r="V14" s="44">
        <f>E106</f>
        <v>99</v>
      </c>
      <c r="W14" s="42">
        <f>(U14-V14)/100</f>
        <v>0.01</v>
      </c>
      <c r="Y14" s="18" t="s">
        <v>28</v>
      </c>
      <c r="Z14" s="55">
        <v>8</v>
      </c>
      <c r="AA14" s="54">
        <f>O33</f>
        <v>7.9509376839626595</v>
      </c>
      <c r="AB14" s="59">
        <f>Z14-AA14</f>
        <v>4.9062316037340459E-2</v>
      </c>
    </row>
    <row r="15" spans="2:28" ht="15.75" thickBot="1" x14ac:dyDescent="0.3">
      <c r="B15" s="14">
        <v>10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15">
        <v>1</v>
      </c>
      <c r="M15" s="20">
        <v>10</v>
      </c>
      <c r="N15" s="18">
        <v>45</v>
      </c>
      <c r="O15" s="52">
        <f t="shared" si="0"/>
        <v>8</v>
      </c>
      <c r="P15" s="19">
        <v>47</v>
      </c>
      <c r="Q15" s="49">
        <f>360/P15</f>
        <v>7.6595744680851068</v>
      </c>
      <c r="T15" s="18" t="s">
        <v>7</v>
      </c>
      <c r="U15" s="2">
        <v>100</v>
      </c>
      <c r="V15" s="44">
        <f>F106</f>
        <v>100</v>
      </c>
      <c r="W15" s="42">
        <f t="shared" ref="W15:W19" si="2">(U15-V15)/100</f>
        <v>0</v>
      </c>
      <c r="Y15" s="19" t="s">
        <v>29</v>
      </c>
      <c r="Z15" s="60">
        <v>8</v>
      </c>
      <c r="AA15" s="61">
        <f>Q33</f>
        <v>7.970186335403727</v>
      </c>
      <c r="AB15" s="62">
        <f>Z15-AA15</f>
        <v>2.9813664596272993E-2</v>
      </c>
    </row>
    <row r="16" spans="2:28" ht="15.75" thickBot="1" x14ac:dyDescent="0.3">
      <c r="B16" s="14">
        <v>11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15">
        <v>1</v>
      </c>
      <c r="M16" s="21" t="s">
        <v>0</v>
      </c>
      <c r="N16" s="9"/>
      <c r="O16" s="92">
        <f>SUM(O6:O15)/M15</f>
        <v>7.818925831202046</v>
      </c>
      <c r="P16" s="93"/>
      <c r="Q16" s="94">
        <f>SUM(Q6:Q15)/M15</f>
        <v>7.8297409805735443</v>
      </c>
      <c r="T16" s="18" t="s">
        <v>15</v>
      </c>
      <c r="U16" s="2">
        <v>100</v>
      </c>
      <c r="V16" s="44">
        <f>G106</f>
        <v>100</v>
      </c>
      <c r="W16" s="42">
        <f t="shared" si="2"/>
        <v>0</v>
      </c>
    </row>
    <row r="17" spans="2:23" x14ac:dyDescent="0.25">
      <c r="B17" s="14">
        <v>12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15">
        <v>1</v>
      </c>
      <c r="P17" s="39"/>
      <c r="T17" s="18" t="s">
        <v>16</v>
      </c>
      <c r="U17" s="2">
        <v>100</v>
      </c>
      <c r="V17" s="44">
        <f>H106</f>
        <v>99</v>
      </c>
      <c r="W17" s="42">
        <f t="shared" si="2"/>
        <v>0.01</v>
      </c>
    </row>
    <row r="18" spans="2:23" x14ac:dyDescent="0.25">
      <c r="B18" s="14">
        <v>13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15">
        <v>1</v>
      </c>
      <c r="T18" s="18" t="s">
        <v>18</v>
      </c>
      <c r="U18" s="2">
        <v>100</v>
      </c>
      <c r="V18" s="44">
        <f>I106</f>
        <v>98</v>
      </c>
      <c r="W18" s="42">
        <f t="shared" si="2"/>
        <v>0.02</v>
      </c>
    </row>
    <row r="19" spans="2:23" ht="15.75" thickBot="1" x14ac:dyDescent="0.3">
      <c r="B19" s="14">
        <v>14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15">
        <v>1</v>
      </c>
      <c r="T19" s="19" t="s">
        <v>19</v>
      </c>
      <c r="U19" s="45">
        <v>100</v>
      </c>
      <c r="V19" s="46">
        <f>J106</f>
        <v>98</v>
      </c>
      <c r="W19" s="43">
        <f t="shared" si="2"/>
        <v>0.02</v>
      </c>
    </row>
    <row r="20" spans="2:23" ht="15.75" thickBot="1" x14ac:dyDescent="0.3">
      <c r="B20" s="14">
        <v>15</v>
      </c>
      <c r="C20" s="3">
        <v>1</v>
      </c>
      <c r="D20" s="3">
        <v>1</v>
      </c>
      <c r="E20" s="3">
        <v>0</v>
      </c>
      <c r="F20" s="3">
        <v>1</v>
      </c>
      <c r="G20" s="3">
        <v>1</v>
      </c>
      <c r="H20" s="3">
        <v>1</v>
      </c>
      <c r="I20" s="3">
        <v>1</v>
      </c>
      <c r="J20" s="15">
        <v>1</v>
      </c>
      <c r="M20" s="21" t="s">
        <v>23</v>
      </c>
      <c r="N20" s="9"/>
      <c r="O20" s="9"/>
      <c r="P20" s="9"/>
      <c r="Q20" s="10"/>
    </row>
    <row r="21" spans="2:23" ht="15.75" thickBot="1" x14ac:dyDescent="0.3">
      <c r="B21" s="14">
        <v>16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15">
        <v>1</v>
      </c>
      <c r="M21" s="22"/>
      <c r="N21" s="21" t="s">
        <v>32</v>
      </c>
      <c r="O21" s="10"/>
      <c r="P21" s="23" t="s">
        <v>33</v>
      </c>
      <c r="Q21" s="24"/>
    </row>
    <row r="22" spans="2:23" ht="45.75" thickBot="1" x14ac:dyDescent="0.3">
      <c r="B22" s="14">
        <v>17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0</v>
      </c>
      <c r="I22" s="3">
        <v>1</v>
      </c>
      <c r="J22" s="15">
        <v>1</v>
      </c>
      <c r="M22" s="29" t="s">
        <v>2</v>
      </c>
      <c r="N22" s="30" t="s">
        <v>20</v>
      </c>
      <c r="O22" s="50" t="s">
        <v>21</v>
      </c>
      <c r="P22" s="31" t="s">
        <v>20</v>
      </c>
      <c r="Q22" s="50" t="s">
        <v>21</v>
      </c>
    </row>
    <row r="23" spans="2:23" x14ac:dyDescent="0.25">
      <c r="B23" s="14">
        <v>18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15">
        <v>1</v>
      </c>
      <c r="M23" s="25">
        <v>1</v>
      </c>
      <c r="N23" s="26">
        <v>44</v>
      </c>
      <c r="O23" s="27">
        <f>360/N23</f>
        <v>8.1818181818181817</v>
      </c>
      <c r="P23" s="47">
        <v>42</v>
      </c>
      <c r="Q23" s="48">
        <f>360/P23</f>
        <v>8.5714285714285712</v>
      </c>
    </row>
    <row r="24" spans="2:23" x14ac:dyDescent="0.25">
      <c r="B24" s="14">
        <v>19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15">
        <v>1</v>
      </c>
      <c r="M24" s="20">
        <v>2</v>
      </c>
      <c r="N24" s="18">
        <v>45</v>
      </c>
      <c r="O24" s="27">
        <f t="shared" ref="O24:O32" si="3">360/N24</f>
        <v>8</v>
      </c>
      <c r="P24" s="18">
        <v>46</v>
      </c>
      <c r="Q24" s="27">
        <f t="shared" ref="Q24:Q31" si="4">360/P24</f>
        <v>7.8260869565217392</v>
      </c>
    </row>
    <row r="25" spans="2:23" x14ac:dyDescent="0.25">
      <c r="B25" s="14">
        <v>20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15">
        <v>1</v>
      </c>
      <c r="M25" s="20">
        <v>3</v>
      </c>
      <c r="N25" s="18">
        <v>46</v>
      </c>
      <c r="O25" s="27">
        <f t="shared" si="3"/>
        <v>7.8260869565217392</v>
      </c>
      <c r="P25" s="18">
        <v>45</v>
      </c>
      <c r="Q25" s="27">
        <f t="shared" si="4"/>
        <v>8</v>
      </c>
    </row>
    <row r="26" spans="2:23" x14ac:dyDescent="0.25">
      <c r="B26" s="14">
        <v>21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15">
        <v>1</v>
      </c>
      <c r="M26" s="20">
        <v>4</v>
      </c>
      <c r="N26" s="18">
        <v>46</v>
      </c>
      <c r="O26" s="27">
        <f t="shared" si="3"/>
        <v>7.8260869565217392</v>
      </c>
      <c r="P26" s="18">
        <v>46</v>
      </c>
      <c r="Q26" s="27">
        <f t="shared" si="4"/>
        <v>7.8260869565217392</v>
      </c>
    </row>
    <row r="27" spans="2:23" x14ac:dyDescent="0.25">
      <c r="B27" s="14">
        <v>22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15">
        <v>1</v>
      </c>
      <c r="M27" s="20">
        <v>5</v>
      </c>
      <c r="N27" s="18">
        <v>44</v>
      </c>
      <c r="O27" s="27">
        <f t="shared" si="3"/>
        <v>8.1818181818181817</v>
      </c>
      <c r="P27" s="18">
        <v>45</v>
      </c>
      <c r="Q27" s="27">
        <f t="shared" si="4"/>
        <v>8</v>
      </c>
    </row>
    <row r="28" spans="2:23" x14ac:dyDescent="0.25">
      <c r="B28" s="14">
        <v>23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15">
        <v>1</v>
      </c>
      <c r="M28" s="20">
        <v>6</v>
      </c>
      <c r="N28" s="18">
        <v>46</v>
      </c>
      <c r="O28" s="27">
        <f t="shared" si="3"/>
        <v>7.8260869565217392</v>
      </c>
      <c r="P28" s="18">
        <v>46</v>
      </c>
      <c r="Q28" s="27">
        <f t="shared" si="4"/>
        <v>7.8260869565217392</v>
      </c>
    </row>
    <row r="29" spans="2:23" x14ac:dyDescent="0.25">
      <c r="B29" s="14">
        <v>24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15">
        <v>1</v>
      </c>
      <c r="M29" s="20">
        <v>7</v>
      </c>
      <c r="N29" s="18">
        <v>47</v>
      </c>
      <c r="O29" s="27">
        <f t="shared" si="3"/>
        <v>7.6595744680851068</v>
      </c>
      <c r="P29" s="18">
        <v>45</v>
      </c>
      <c r="Q29" s="27">
        <f t="shared" si="4"/>
        <v>8</v>
      </c>
    </row>
    <row r="30" spans="2:23" x14ac:dyDescent="0.25">
      <c r="B30" s="14">
        <v>25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15">
        <v>1</v>
      </c>
      <c r="M30" s="20">
        <v>8</v>
      </c>
      <c r="N30" s="18">
        <v>44</v>
      </c>
      <c r="O30" s="27">
        <f t="shared" si="3"/>
        <v>8.1818181818181817</v>
      </c>
      <c r="P30" s="18">
        <v>46</v>
      </c>
      <c r="Q30" s="27">
        <f t="shared" si="4"/>
        <v>7.8260869565217392</v>
      </c>
    </row>
    <row r="31" spans="2:23" x14ac:dyDescent="0.25">
      <c r="B31" s="14">
        <v>26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15">
        <v>1</v>
      </c>
      <c r="M31" s="20">
        <v>9</v>
      </c>
      <c r="N31" s="18">
        <v>46</v>
      </c>
      <c r="O31" s="27">
        <f t="shared" si="3"/>
        <v>7.8260869565217392</v>
      </c>
      <c r="P31" s="18">
        <v>45</v>
      </c>
      <c r="Q31" s="27">
        <f t="shared" si="4"/>
        <v>8</v>
      </c>
    </row>
    <row r="32" spans="2:23" ht="15.75" thickBot="1" x14ac:dyDescent="0.3">
      <c r="B32" s="14">
        <v>27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15">
        <v>1</v>
      </c>
      <c r="M32" s="20">
        <v>10</v>
      </c>
      <c r="N32" s="18">
        <v>45</v>
      </c>
      <c r="O32" s="27">
        <f t="shared" si="3"/>
        <v>8</v>
      </c>
      <c r="P32" s="19">
        <v>46</v>
      </c>
      <c r="Q32" s="49">
        <f>360/P32</f>
        <v>7.8260869565217392</v>
      </c>
    </row>
    <row r="33" spans="2:17" ht="15.75" thickBot="1" x14ac:dyDescent="0.3">
      <c r="B33" s="14">
        <v>28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15">
        <v>1</v>
      </c>
      <c r="M33" s="21" t="s">
        <v>0</v>
      </c>
      <c r="N33" s="9"/>
      <c r="O33" s="92">
        <f>SUM(O23:O32)/M32</f>
        <v>7.9509376839626595</v>
      </c>
      <c r="P33" s="93"/>
      <c r="Q33" s="94">
        <f>SUM(Q23:Q32)/M32</f>
        <v>7.970186335403727</v>
      </c>
    </row>
    <row r="34" spans="2:17" x14ac:dyDescent="0.25">
      <c r="B34" s="14">
        <v>29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15">
        <v>1</v>
      </c>
    </row>
    <row r="35" spans="2:17" x14ac:dyDescent="0.25">
      <c r="B35" s="14">
        <v>30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15">
        <v>1</v>
      </c>
    </row>
    <row r="36" spans="2:17" x14ac:dyDescent="0.25">
      <c r="B36" s="14">
        <v>31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15">
        <v>1</v>
      </c>
    </row>
    <row r="37" spans="2:17" x14ac:dyDescent="0.25">
      <c r="B37" s="14">
        <v>32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15">
        <v>1</v>
      </c>
    </row>
    <row r="38" spans="2:17" x14ac:dyDescent="0.25">
      <c r="B38" s="14">
        <v>33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15">
        <v>1</v>
      </c>
    </row>
    <row r="39" spans="2:17" x14ac:dyDescent="0.25">
      <c r="B39" s="14">
        <v>34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15">
        <v>1</v>
      </c>
    </row>
    <row r="40" spans="2:17" x14ac:dyDescent="0.25">
      <c r="B40" s="14">
        <v>35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15">
        <v>1</v>
      </c>
    </row>
    <row r="41" spans="2:17" x14ac:dyDescent="0.25">
      <c r="B41" s="14">
        <v>36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15">
        <v>1</v>
      </c>
    </row>
    <row r="42" spans="2:17" x14ac:dyDescent="0.25">
      <c r="B42" s="14">
        <v>37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15">
        <v>1</v>
      </c>
    </row>
    <row r="43" spans="2:17" x14ac:dyDescent="0.25">
      <c r="B43" s="14">
        <v>38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15">
        <v>1</v>
      </c>
    </row>
    <row r="44" spans="2:17" x14ac:dyDescent="0.25">
      <c r="B44" s="14">
        <v>39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15">
        <v>1</v>
      </c>
    </row>
    <row r="45" spans="2:17" x14ac:dyDescent="0.25">
      <c r="B45" s="14">
        <v>40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15">
        <v>1</v>
      </c>
    </row>
    <row r="46" spans="2:17" x14ac:dyDescent="0.25">
      <c r="B46" s="14">
        <v>41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15">
        <v>1</v>
      </c>
    </row>
    <row r="47" spans="2:17" x14ac:dyDescent="0.25">
      <c r="B47" s="14">
        <v>42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15">
        <v>1</v>
      </c>
    </row>
    <row r="48" spans="2:17" x14ac:dyDescent="0.25">
      <c r="B48" s="14">
        <v>43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15">
        <v>1</v>
      </c>
    </row>
    <row r="49" spans="2:10" x14ac:dyDescent="0.25">
      <c r="B49" s="14">
        <v>44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15">
        <v>1</v>
      </c>
    </row>
    <row r="50" spans="2:10" x14ac:dyDescent="0.25">
      <c r="B50" s="14">
        <v>45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15">
        <v>1</v>
      </c>
    </row>
    <row r="51" spans="2:10" x14ac:dyDescent="0.25">
      <c r="B51" s="14">
        <v>46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15">
        <v>1</v>
      </c>
    </row>
    <row r="52" spans="2:10" x14ac:dyDescent="0.25">
      <c r="B52" s="14">
        <v>47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15">
        <v>1</v>
      </c>
    </row>
    <row r="53" spans="2:10" x14ac:dyDescent="0.25">
      <c r="B53" s="14">
        <v>48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15">
        <v>1</v>
      </c>
    </row>
    <row r="54" spans="2:10" x14ac:dyDescent="0.25">
      <c r="B54" s="14">
        <v>49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15">
        <v>1</v>
      </c>
    </row>
    <row r="55" spans="2:10" x14ac:dyDescent="0.25">
      <c r="B55" s="14">
        <v>50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15">
        <v>1</v>
      </c>
    </row>
    <row r="56" spans="2:10" x14ac:dyDescent="0.25">
      <c r="B56" s="14">
        <v>51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15">
        <v>1</v>
      </c>
    </row>
    <row r="57" spans="2:10" x14ac:dyDescent="0.25">
      <c r="B57" s="14">
        <v>52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15">
        <v>1</v>
      </c>
    </row>
    <row r="58" spans="2:10" x14ac:dyDescent="0.25">
      <c r="B58" s="14">
        <v>53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15">
        <v>1</v>
      </c>
    </row>
    <row r="59" spans="2:10" x14ac:dyDescent="0.25">
      <c r="B59" s="14">
        <v>54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15">
        <v>1</v>
      </c>
    </row>
    <row r="60" spans="2:10" x14ac:dyDescent="0.25">
      <c r="B60" s="14">
        <v>55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15">
        <v>1</v>
      </c>
    </row>
    <row r="61" spans="2:10" x14ac:dyDescent="0.25">
      <c r="B61" s="14">
        <v>56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15">
        <v>1</v>
      </c>
    </row>
    <row r="62" spans="2:10" x14ac:dyDescent="0.25">
      <c r="B62" s="14">
        <v>57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15">
        <v>1</v>
      </c>
    </row>
    <row r="63" spans="2:10" x14ac:dyDescent="0.25">
      <c r="B63" s="14">
        <v>58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15">
        <v>1</v>
      </c>
    </row>
    <row r="64" spans="2:10" x14ac:dyDescent="0.25">
      <c r="B64" s="14">
        <v>59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15">
        <v>1</v>
      </c>
    </row>
    <row r="65" spans="2:10" x14ac:dyDescent="0.25">
      <c r="B65" s="14">
        <v>60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15">
        <v>1</v>
      </c>
    </row>
    <row r="66" spans="2:10" x14ac:dyDescent="0.25">
      <c r="B66" s="14">
        <v>61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15">
        <v>1</v>
      </c>
    </row>
    <row r="67" spans="2:10" x14ac:dyDescent="0.25">
      <c r="B67" s="14">
        <v>62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15">
        <v>1</v>
      </c>
    </row>
    <row r="68" spans="2:10" x14ac:dyDescent="0.25">
      <c r="B68" s="14">
        <v>63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15">
        <v>0</v>
      </c>
    </row>
    <row r="69" spans="2:10" x14ac:dyDescent="0.25">
      <c r="B69" s="14">
        <v>64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15">
        <v>1</v>
      </c>
    </row>
    <row r="70" spans="2:10" x14ac:dyDescent="0.25">
      <c r="B70" s="14">
        <v>65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15">
        <v>1</v>
      </c>
    </row>
    <row r="71" spans="2:10" x14ac:dyDescent="0.25">
      <c r="B71" s="14">
        <v>66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15">
        <v>1</v>
      </c>
    </row>
    <row r="72" spans="2:10" x14ac:dyDescent="0.25">
      <c r="B72" s="14">
        <v>67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15">
        <v>1</v>
      </c>
    </row>
    <row r="73" spans="2:10" x14ac:dyDescent="0.25">
      <c r="B73" s="14">
        <v>68</v>
      </c>
      <c r="C73" s="3">
        <v>1</v>
      </c>
      <c r="D73" s="3">
        <v>1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15">
        <v>1</v>
      </c>
    </row>
    <row r="74" spans="2:10" x14ac:dyDescent="0.25">
      <c r="B74" s="14">
        <v>69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15">
        <v>1</v>
      </c>
    </row>
    <row r="75" spans="2:10" x14ac:dyDescent="0.25">
      <c r="B75" s="14">
        <v>70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15">
        <v>1</v>
      </c>
    </row>
    <row r="76" spans="2:10" x14ac:dyDescent="0.25">
      <c r="B76" s="14">
        <v>71</v>
      </c>
      <c r="C76" s="3">
        <v>1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15">
        <v>1</v>
      </c>
    </row>
    <row r="77" spans="2:10" x14ac:dyDescent="0.25">
      <c r="B77" s="14">
        <v>72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15">
        <v>1</v>
      </c>
    </row>
    <row r="78" spans="2:10" x14ac:dyDescent="0.25">
      <c r="B78" s="14">
        <v>73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15">
        <v>1</v>
      </c>
    </row>
    <row r="79" spans="2:10" x14ac:dyDescent="0.25">
      <c r="B79" s="14">
        <v>74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15">
        <v>1</v>
      </c>
    </row>
    <row r="80" spans="2:10" x14ac:dyDescent="0.25">
      <c r="B80" s="14">
        <v>75</v>
      </c>
      <c r="C80" s="3">
        <v>1</v>
      </c>
      <c r="D80" s="3">
        <v>1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15">
        <v>1</v>
      </c>
    </row>
    <row r="81" spans="2:10" x14ac:dyDescent="0.25">
      <c r="B81" s="14">
        <v>76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15">
        <v>1</v>
      </c>
    </row>
    <row r="82" spans="2:10" x14ac:dyDescent="0.25">
      <c r="B82" s="14">
        <v>77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15">
        <v>1</v>
      </c>
    </row>
    <row r="83" spans="2:10" x14ac:dyDescent="0.25">
      <c r="B83" s="14">
        <v>78</v>
      </c>
      <c r="C83" s="3">
        <v>1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15">
        <v>1</v>
      </c>
    </row>
    <row r="84" spans="2:10" x14ac:dyDescent="0.25">
      <c r="B84" s="14">
        <v>79</v>
      </c>
      <c r="C84" s="3">
        <v>1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15">
        <v>1</v>
      </c>
    </row>
    <row r="85" spans="2:10" x14ac:dyDescent="0.25">
      <c r="B85" s="14">
        <v>80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15">
        <v>1</v>
      </c>
    </row>
    <row r="86" spans="2:10" x14ac:dyDescent="0.25">
      <c r="B86" s="14">
        <v>81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15">
        <v>1</v>
      </c>
    </row>
    <row r="87" spans="2:10" x14ac:dyDescent="0.25">
      <c r="B87" s="14">
        <v>82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15">
        <v>1</v>
      </c>
    </row>
    <row r="88" spans="2:10" x14ac:dyDescent="0.25">
      <c r="B88" s="14">
        <v>83</v>
      </c>
      <c r="C88" s="3">
        <v>1</v>
      </c>
      <c r="D88" s="3">
        <v>1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15">
        <v>1</v>
      </c>
    </row>
    <row r="89" spans="2:10" x14ac:dyDescent="0.25">
      <c r="B89" s="14">
        <v>84</v>
      </c>
      <c r="C89" s="3">
        <v>1</v>
      </c>
      <c r="D89" s="3">
        <v>1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15">
        <v>1</v>
      </c>
    </row>
    <row r="90" spans="2:10" x14ac:dyDescent="0.25">
      <c r="B90" s="14">
        <v>85</v>
      </c>
      <c r="C90" s="3">
        <v>1</v>
      </c>
      <c r="D90" s="3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15">
        <v>1</v>
      </c>
    </row>
    <row r="91" spans="2:10" x14ac:dyDescent="0.25">
      <c r="B91" s="14">
        <v>86</v>
      </c>
      <c r="C91" s="3">
        <v>1</v>
      </c>
      <c r="D91" s="3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15">
        <v>1</v>
      </c>
    </row>
    <row r="92" spans="2:10" x14ac:dyDescent="0.25">
      <c r="B92" s="14">
        <v>87</v>
      </c>
      <c r="C92" s="3">
        <v>1</v>
      </c>
      <c r="D92" s="3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15">
        <v>1</v>
      </c>
    </row>
    <row r="93" spans="2:10" x14ac:dyDescent="0.25">
      <c r="B93" s="14">
        <v>88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15">
        <v>1</v>
      </c>
    </row>
    <row r="94" spans="2:10" x14ac:dyDescent="0.25">
      <c r="B94" s="14">
        <v>89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15">
        <v>1</v>
      </c>
    </row>
    <row r="95" spans="2:10" x14ac:dyDescent="0.25">
      <c r="B95" s="14">
        <v>90</v>
      </c>
      <c r="C95" s="3">
        <v>1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15">
        <v>1</v>
      </c>
    </row>
    <row r="96" spans="2:10" x14ac:dyDescent="0.25">
      <c r="B96" s="14">
        <v>91</v>
      </c>
      <c r="C96" s="3">
        <v>1</v>
      </c>
      <c r="D96" s="3">
        <v>1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15">
        <v>1</v>
      </c>
    </row>
    <row r="97" spans="1:10" x14ac:dyDescent="0.25">
      <c r="B97" s="14">
        <v>92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15">
        <v>1</v>
      </c>
    </row>
    <row r="98" spans="1:10" x14ac:dyDescent="0.25">
      <c r="B98" s="14">
        <v>93</v>
      </c>
      <c r="C98" s="3">
        <v>1</v>
      </c>
      <c r="D98" s="3">
        <v>1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15">
        <v>1</v>
      </c>
    </row>
    <row r="99" spans="1:10" x14ac:dyDescent="0.25">
      <c r="B99" s="14">
        <v>94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0</v>
      </c>
      <c r="J99" s="15">
        <v>1</v>
      </c>
    </row>
    <row r="100" spans="1:10" x14ac:dyDescent="0.25">
      <c r="B100" s="14">
        <v>95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15">
        <v>1</v>
      </c>
    </row>
    <row r="101" spans="1:10" x14ac:dyDescent="0.25">
      <c r="B101" s="14">
        <v>96</v>
      </c>
      <c r="C101" s="3">
        <v>1</v>
      </c>
      <c r="D101" s="3">
        <v>1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15">
        <v>1</v>
      </c>
    </row>
    <row r="102" spans="1:10" x14ac:dyDescent="0.25">
      <c r="B102" s="14">
        <v>97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15">
        <v>1</v>
      </c>
    </row>
    <row r="103" spans="1:10" x14ac:dyDescent="0.25">
      <c r="B103" s="14">
        <v>98</v>
      </c>
      <c r="C103" s="3">
        <v>1</v>
      </c>
      <c r="D103" s="3">
        <v>1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15">
        <v>1</v>
      </c>
    </row>
    <row r="104" spans="1:10" x14ac:dyDescent="0.25">
      <c r="B104" s="14">
        <v>99</v>
      </c>
      <c r="C104" s="3">
        <v>1</v>
      </c>
      <c r="D104" s="3">
        <v>1</v>
      </c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15">
        <v>1</v>
      </c>
    </row>
    <row r="105" spans="1:10" ht="15.75" thickBot="1" x14ac:dyDescent="0.3">
      <c r="B105" s="16">
        <v>100</v>
      </c>
      <c r="C105" s="3">
        <v>1</v>
      </c>
      <c r="D105" s="3">
        <v>1</v>
      </c>
      <c r="E105" s="3">
        <v>1</v>
      </c>
      <c r="F105" s="3">
        <v>1</v>
      </c>
      <c r="G105" s="3">
        <v>1</v>
      </c>
      <c r="H105" s="3">
        <v>1</v>
      </c>
      <c r="I105" s="3">
        <v>1</v>
      </c>
      <c r="J105" s="15">
        <v>1</v>
      </c>
    </row>
    <row r="106" spans="1:10" ht="15.75" thickBot="1" x14ac:dyDescent="0.3">
      <c r="B106" s="5" t="s">
        <v>0</v>
      </c>
      <c r="C106" s="6">
        <f>SUM(C6:C105)</f>
        <v>100</v>
      </c>
      <c r="D106" s="6">
        <f t="shared" ref="D106:J106" si="5">SUM(D6:D105)</f>
        <v>100</v>
      </c>
      <c r="E106" s="6">
        <f t="shared" si="5"/>
        <v>99</v>
      </c>
      <c r="F106" s="6">
        <f t="shared" si="5"/>
        <v>100</v>
      </c>
      <c r="G106" s="6">
        <f t="shared" si="5"/>
        <v>100</v>
      </c>
      <c r="H106" s="6">
        <f t="shared" si="5"/>
        <v>99</v>
      </c>
      <c r="I106" s="6">
        <f t="shared" si="5"/>
        <v>98</v>
      </c>
      <c r="J106" s="7">
        <f t="shared" si="5"/>
        <v>98</v>
      </c>
    </row>
    <row r="111" spans="1:10" x14ac:dyDescent="0.25">
      <c r="A111" s="51" t="s">
        <v>25</v>
      </c>
      <c r="B111" t="s">
        <v>46</v>
      </c>
    </row>
    <row r="112" spans="1:10" x14ac:dyDescent="0.25">
      <c r="B112" t="s">
        <v>46</v>
      </c>
    </row>
    <row r="113" spans="2:2" x14ac:dyDescent="0.25">
      <c r="B113" t="s">
        <v>46</v>
      </c>
    </row>
    <row r="114" spans="2:2" x14ac:dyDescent="0.25">
      <c r="B114" t="s">
        <v>46</v>
      </c>
    </row>
    <row r="115" spans="2:2" x14ac:dyDescent="0.25">
      <c r="B115" t="s">
        <v>46</v>
      </c>
    </row>
    <row r="116" spans="2:2" x14ac:dyDescent="0.25">
      <c r="B116" t="s">
        <v>46</v>
      </c>
    </row>
    <row r="117" spans="2:2" x14ac:dyDescent="0.25">
      <c r="B117" t="s">
        <v>46</v>
      </c>
    </row>
    <row r="118" spans="2:2" x14ac:dyDescent="0.25">
      <c r="B118" t="s">
        <v>46</v>
      </c>
    </row>
    <row r="119" spans="2:2" x14ac:dyDescent="0.25">
      <c r="B119" t="s">
        <v>46</v>
      </c>
    </row>
    <row r="120" spans="2:2" x14ac:dyDescent="0.25">
      <c r="B120" t="s">
        <v>46</v>
      </c>
    </row>
    <row r="121" spans="2:2" x14ac:dyDescent="0.25">
      <c r="B121" t="s">
        <v>46</v>
      </c>
    </row>
    <row r="122" spans="2:2" x14ac:dyDescent="0.25">
      <c r="B122" t="s">
        <v>46</v>
      </c>
    </row>
    <row r="123" spans="2:2" x14ac:dyDescent="0.25">
      <c r="B123" t="s">
        <v>46</v>
      </c>
    </row>
    <row r="124" spans="2:2" x14ac:dyDescent="0.25">
      <c r="B124" t="s">
        <v>46</v>
      </c>
    </row>
    <row r="125" spans="2:2" x14ac:dyDescent="0.25">
      <c r="B125" t="s">
        <v>46</v>
      </c>
    </row>
    <row r="126" spans="2:2" x14ac:dyDescent="0.25">
      <c r="B126" t="s">
        <v>46</v>
      </c>
    </row>
    <row r="127" spans="2:2" x14ac:dyDescent="0.25">
      <c r="B127" t="s">
        <v>46</v>
      </c>
    </row>
    <row r="128" spans="2:2" x14ac:dyDescent="0.25">
      <c r="B128" t="s">
        <v>46</v>
      </c>
    </row>
    <row r="129" spans="2:2" x14ac:dyDescent="0.25">
      <c r="B129" t="s">
        <v>46</v>
      </c>
    </row>
    <row r="130" spans="2:2" x14ac:dyDescent="0.25">
      <c r="B130" t="s">
        <v>46</v>
      </c>
    </row>
    <row r="131" spans="2:2" x14ac:dyDescent="0.25">
      <c r="B131" t="s">
        <v>46</v>
      </c>
    </row>
    <row r="132" spans="2:2" x14ac:dyDescent="0.25">
      <c r="B132" t="s">
        <v>46</v>
      </c>
    </row>
    <row r="133" spans="2:2" x14ac:dyDescent="0.25">
      <c r="B133" t="s">
        <v>46</v>
      </c>
    </row>
    <row r="134" spans="2:2" x14ac:dyDescent="0.25">
      <c r="B134" t="s">
        <v>46</v>
      </c>
    </row>
    <row r="135" spans="2:2" x14ac:dyDescent="0.25">
      <c r="B135" t="s">
        <v>46</v>
      </c>
    </row>
    <row r="136" spans="2:2" x14ac:dyDescent="0.25">
      <c r="B136" t="s">
        <v>46</v>
      </c>
    </row>
    <row r="137" spans="2:2" x14ac:dyDescent="0.25">
      <c r="B137" t="s">
        <v>46</v>
      </c>
    </row>
    <row r="138" spans="2:2" x14ac:dyDescent="0.25">
      <c r="B138" t="s">
        <v>46</v>
      </c>
    </row>
    <row r="139" spans="2:2" x14ac:dyDescent="0.25">
      <c r="B139" t="s">
        <v>46</v>
      </c>
    </row>
    <row r="140" spans="2:2" x14ac:dyDescent="0.25">
      <c r="B140" t="s">
        <v>46</v>
      </c>
    </row>
    <row r="141" spans="2:2" x14ac:dyDescent="0.25">
      <c r="B141" t="s">
        <v>46</v>
      </c>
    </row>
    <row r="142" spans="2:2" x14ac:dyDescent="0.25">
      <c r="B142" t="s">
        <v>46</v>
      </c>
    </row>
    <row r="143" spans="2:2" x14ac:dyDescent="0.25">
      <c r="B143" t="s">
        <v>46</v>
      </c>
    </row>
    <row r="144" spans="2:2" x14ac:dyDescent="0.25">
      <c r="B144" t="s">
        <v>46</v>
      </c>
    </row>
    <row r="145" spans="2:2" x14ac:dyDescent="0.25">
      <c r="B145" t="s">
        <v>46</v>
      </c>
    </row>
    <row r="146" spans="2:2" x14ac:dyDescent="0.25">
      <c r="B146" t="s">
        <v>46</v>
      </c>
    </row>
    <row r="147" spans="2:2" x14ac:dyDescent="0.25">
      <c r="B147" t="s">
        <v>46</v>
      </c>
    </row>
    <row r="148" spans="2:2" x14ac:dyDescent="0.25">
      <c r="B148" t="s">
        <v>46</v>
      </c>
    </row>
    <row r="149" spans="2:2" x14ac:dyDescent="0.25">
      <c r="B149" t="s">
        <v>46</v>
      </c>
    </row>
    <row r="150" spans="2:2" x14ac:dyDescent="0.25">
      <c r="B150" t="s">
        <v>46</v>
      </c>
    </row>
    <row r="151" spans="2:2" x14ac:dyDescent="0.25">
      <c r="B151" t="s">
        <v>46</v>
      </c>
    </row>
    <row r="152" spans="2:2" x14ac:dyDescent="0.25">
      <c r="B152" t="s">
        <v>46</v>
      </c>
    </row>
    <row r="153" spans="2:2" x14ac:dyDescent="0.25">
      <c r="B153" t="s">
        <v>46</v>
      </c>
    </row>
    <row r="154" spans="2:2" x14ac:dyDescent="0.25">
      <c r="B154" t="s">
        <v>46</v>
      </c>
    </row>
    <row r="155" spans="2:2" x14ac:dyDescent="0.25">
      <c r="B155" t="s">
        <v>46</v>
      </c>
    </row>
    <row r="156" spans="2:2" x14ac:dyDescent="0.25">
      <c r="B156" t="s">
        <v>46</v>
      </c>
    </row>
    <row r="157" spans="2:2" x14ac:dyDescent="0.25">
      <c r="B157" t="s">
        <v>46</v>
      </c>
    </row>
    <row r="158" spans="2:2" x14ac:dyDescent="0.25">
      <c r="B158" t="s">
        <v>46</v>
      </c>
    </row>
    <row r="159" spans="2:2" x14ac:dyDescent="0.25">
      <c r="B159" t="s">
        <v>46</v>
      </c>
    </row>
    <row r="160" spans="2:2" x14ac:dyDescent="0.25">
      <c r="B160" t="s">
        <v>46</v>
      </c>
    </row>
    <row r="161" spans="2:2" x14ac:dyDescent="0.25">
      <c r="B161" t="s">
        <v>46</v>
      </c>
    </row>
    <row r="162" spans="2:2" x14ac:dyDescent="0.25">
      <c r="B162" t="s">
        <v>46</v>
      </c>
    </row>
    <row r="163" spans="2:2" x14ac:dyDescent="0.25">
      <c r="B163" t="s">
        <v>46</v>
      </c>
    </row>
    <row r="164" spans="2:2" x14ac:dyDescent="0.25">
      <c r="B164" t="s">
        <v>46</v>
      </c>
    </row>
    <row r="165" spans="2:2" x14ac:dyDescent="0.25">
      <c r="B165" t="s">
        <v>46</v>
      </c>
    </row>
    <row r="166" spans="2:2" x14ac:dyDescent="0.25">
      <c r="B166" t="s">
        <v>46</v>
      </c>
    </row>
    <row r="167" spans="2:2" x14ac:dyDescent="0.25">
      <c r="B167" t="s">
        <v>46</v>
      </c>
    </row>
    <row r="168" spans="2:2" x14ac:dyDescent="0.25">
      <c r="B168" t="s">
        <v>46</v>
      </c>
    </row>
    <row r="169" spans="2:2" x14ac:dyDescent="0.25">
      <c r="B169" t="s">
        <v>46</v>
      </c>
    </row>
    <row r="170" spans="2:2" x14ac:dyDescent="0.25">
      <c r="B170" t="s">
        <v>46</v>
      </c>
    </row>
    <row r="171" spans="2:2" x14ac:dyDescent="0.25">
      <c r="B171" t="s">
        <v>46</v>
      </c>
    </row>
    <row r="172" spans="2:2" x14ac:dyDescent="0.25">
      <c r="B172" t="s">
        <v>46</v>
      </c>
    </row>
    <row r="173" spans="2:2" x14ac:dyDescent="0.25">
      <c r="B173" t="s">
        <v>46</v>
      </c>
    </row>
    <row r="174" spans="2:2" x14ac:dyDescent="0.25">
      <c r="B174" t="s">
        <v>46</v>
      </c>
    </row>
    <row r="175" spans="2:2" x14ac:dyDescent="0.25">
      <c r="B175" t="s">
        <v>46</v>
      </c>
    </row>
    <row r="176" spans="2:2" x14ac:dyDescent="0.25">
      <c r="B176" t="s">
        <v>46</v>
      </c>
    </row>
    <row r="177" spans="2:2" x14ac:dyDescent="0.25">
      <c r="B177" t="s">
        <v>46</v>
      </c>
    </row>
    <row r="178" spans="2:2" x14ac:dyDescent="0.25">
      <c r="B178" t="s">
        <v>46</v>
      </c>
    </row>
    <row r="179" spans="2:2" x14ac:dyDescent="0.25">
      <c r="B179" t="s">
        <v>46</v>
      </c>
    </row>
    <row r="180" spans="2:2" x14ac:dyDescent="0.25">
      <c r="B180" t="s">
        <v>46</v>
      </c>
    </row>
    <row r="181" spans="2:2" x14ac:dyDescent="0.25">
      <c r="B181" t="s">
        <v>46</v>
      </c>
    </row>
    <row r="182" spans="2:2" x14ac:dyDescent="0.25">
      <c r="B182" t="s">
        <v>46</v>
      </c>
    </row>
    <row r="183" spans="2:2" x14ac:dyDescent="0.25">
      <c r="B183" t="s">
        <v>46</v>
      </c>
    </row>
    <row r="184" spans="2:2" x14ac:dyDescent="0.25">
      <c r="B184" t="s">
        <v>46</v>
      </c>
    </row>
    <row r="185" spans="2:2" x14ac:dyDescent="0.25">
      <c r="B185" t="s">
        <v>46</v>
      </c>
    </row>
    <row r="186" spans="2:2" x14ac:dyDescent="0.25">
      <c r="B186" t="s">
        <v>46</v>
      </c>
    </row>
    <row r="187" spans="2:2" x14ac:dyDescent="0.25">
      <c r="B187" t="s">
        <v>46</v>
      </c>
    </row>
    <row r="188" spans="2:2" x14ac:dyDescent="0.25">
      <c r="B188" t="s">
        <v>46</v>
      </c>
    </row>
    <row r="189" spans="2:2" x14ac:dyDescent="0.25">
      <c r="B189" t="s">
        <v>46</v>
      </c>
    </row>
    <row r="190" spans="2:2" x14ac:dyDescent="0.25">
      <c r="B190" t="s">
        <v>46</v>
      </c>
    </row>
    <row r="191" spans="2:2" x14ac:dyDescent="0.25">
      <c r="B191" t="s">
        <v>46</v>
      </c>
    </row>
    <row r="192" spans="2:2" x14ac:dyDescent="0.25">
      <c r="B192" t="s">
        <v>46</v>
      </c>
    </row>
    <row r="193" spans="2:2" x14ac:dyDescent="0.25">
      <c r="B193" t="s">
        <v>46</v>
      </c>
    </row>
    <row r="194" spans="2:2" x14ac:dyDescent="0.25">
      <c r="B194" t="s">
        <v>46</v>
      </c>
    </row>
    <row r="195" spans="2:2" x14ac:dyDescent="0.25">
      <c r="B195" t="s">
        <v>46</v>
      </c>
    </row>
    <row r="196" spans="2:2" x14ac:dyDescent="0.25">
      <c r="B196" t="s">
        <v>46</v>
      </c>
    </row>
    <row r="197" spans="2:2" x14ac:dyDescent="0.25">
      <c r="B197" t="s">
        <v>46</v>
      </c>
    </row>
    <row r="198" spans="2:2" x14ac:dyDescent="0.25">
      <c r="B198" t="s">
        <v>46</v>
      </c>
    </row>
    <row r="199" spans="2:2" x14ac:dyDescent="0.25">
      <c r="B199" t="s">
        <v>46</v>
      </c>
    </row>
    <row r="200" spans="2:2" x14ac:dyDescent="0.25">
      <c r="B200" t="s">
        <v>46</v>
      </c>
    </row>
    <row r="201" spans="2:2" x14ac:dyDescent="0.25">
      <c r="B201" t="s">
        <v>46</v>
      </c>
    </row>
    <row r="202" spans="2:2" x14ac:dyDescent="0.25">
      <c r="B202" t="s">
        <v>46</v>
      </c>
    </row>
    <row r="203" spans="2:2" x14ac:dyDescent="0.25">
      <c r="B203" t="s">
        <v>46</v>
      </c>
    </row>
    <row r="204" spans="2:2" x14ac:dyDescent="0.25">
      <c r="B204" t="s">
        <v>46</v>
      </c>
    </row>
    <row r="205" spans="2:2" x14ac:dyDescent="0.25">
      <c r="B205" t="s">
        <v>46</v>
      </c>
    </row>
    <row r="206" spans="2:2" x14ac:dyDescent="0.25">
      <c r="B206" t="s">
        <v>46</v>
      </c>
    </row>
    <row r="207" spans="2:2" x14ac:dyDescent="0.25">
      <c r="B207" t="s">
        <v>46</v>
      </c>
    </row>
    <row r="208" spans="2:2" x14ac:dyDescent="0.25">
      <c r="B208" t="s">
        <v>46</v>
      </c>
    </row>
    <row r="209" spans="2:2" x14ac:dyDescent="0.25">
      <c r="B209" t="s">
        <v>46</v>
      </c>
    </row>
  </sheetData>
  <mergeCells count="11">
    <mergeCell ref="M16:N16"/>
    <mergeCell ref="Y10:AB10"/>
    <mergeCell ref="M20:Q20"/>
    <mergeCell ref="N21:O21"/>
    <mergeCell ref="P21:Q21"/>
    <mergeCell ref="M33:N33"/>
    <mergeCell ref="B4:J4"/>
    <mergeCell ref="M3:Q3"/>
    <mergeCell ref="P4:Q4"/>
    <mergeCell ref="N4:O4"/>
    <mergeCell ref="T10:W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workbookViewId="0">
      <selection activeCell="J15" sqref="F4:J15"/>
    </sheetView>
  </sheetViews>
  <sheetFormatPr baseColWidth="10" defaultRowHeight="15" x14ac:dyDescent="0.25"/>
  <cols>
    <col min="2" max="5" width="7.7109375" customWidth="1"/>
    <col min="6" max="6" width="9.85546875" customWidth="1"/>
    <col min="7" max="7" width="8.85546875" customWidth="1"/>
    <col min="8" max="8" width="16.85546875" bestFit="1" customWidth="1"/>
    <col min="9" max="9" width="17.7109375" bestFit="1" customWidth="1"/>
    <col min="10" max="10" width="18.28515625" bestFit="1" customWidth="1"/>
    <col min="11" max="11" width="17.28515625" bestFit="1" customWidth="1"/>
    <col min="12" max="12" width="18.28515625" bestFit="1" customWidth="1"/>
    <col min="13" max="13" width="17.28515625" bestFit="1" customWidth="1"/>
    <col min="20" max="20" width="11.85546875" bestFit="1" customWidth="1"/>
  </cols>
  <sheetData>
    <row r="2" spans="6:10" ht="15.75" thickBot="1" x14ac:dyDescent="0.3"/>
    <row r="3" spans="6:10" ht="15.75" thickBot="1" x14ac:dyDescent="0.3">
      <c r="G3" s="63" t="s">
        <v>45</v>
      </c>
      <c r="H3" s="64"/>
      <c r="I3" s="64"/>
      <c r="J3" s="65"/>
    </row>
    <row r="4" spans="6:10" ht="15.75" thickBot="1" x14ac:dyDescent="0.3">
      <c r="G4" s="85" t="s">
        <v>42</v>
      </c>
      <c r="H4" s="86" t="s">
        <v>40</v>
      </c>
      <c r="I4" s="86" t="s">
        <v>43</v>
      </c>
      <c r="J4" s="87" t="s">
        <v>44</v>
      </c>
    </row>
    <row r="5" spans="6:10" x14ac:dyDescent="0.25">
      <c r="F5" s="88">
        <v>1</v>
      </c>
      <c r="G5" s="81">
        <v>59</v>
      </c>
      <c r="H5" s="12">
        <v>59</v>
      </c>
      <c r="I5" s="12">
        <v>59</v>
      </c>
      <c r="J5" s="13">
        <v>59</v>
      </c>
    </row>
    <row r="6" spans="6:10" x14ac:dyDescent="0.25">
      <c r="F6" s="89">
        <v>2</v>
      </c>
      <c r="G6" s="82">
        <v>59</v>
      </c>
      <c r="H6" s="2">
        <v>60</v>
      </c>
      <c r="I6" s="2">
        <v>56</v>
      </c>
      <c r="J6" s="72">
        <v>66</v>
      </c>
    </row>
    <row r="7" spans="6:10" x14ac:dyDescent="0.25">
      <c r="F7" s="89">
        <v>3</v>
      </c>
      <c r="G7" s="82">
        <v>60</v>
      </c>
      <c r="H7" s="2">
        <v>60</v>
      </c>
      <c r="I7" s="2">
        <v>55</v>
      </c>
      <c r="J7" s="72">
        <v>67</v>
      </c>
    </row>
    <row r="8" spans="6:10" x14ac:dyDescent="0.25">
      <c r="F8" s="89">
        <v>4</v>
      </c>
      <c r="G8" s="82">
        <v>61</v>
      </c>
      <c r="H8" s="2">
        <v>60</v>
      </c>
      <c r="I8" s="2">
        <v>55</v>
      </c>
      <c r="J8" s="72">
        <v>67</v>
      </c>
    </row>
    <row r="9" spans="6:10" x14ac:dyDescent="0.25">
      <c r="F9" s="89">
        <v>5</v>
      </c>
      <c r="G9" s="82">
        <v>58</v>
      </c>
      <c r="H9" s="2">
        <v>60</v>
      </c>
      <c r="I9" s="2">
        <v>55</v>
      </c>
      <c r="J9" s="72">
        <v>67</v>
      </c>
    </row>
    <row r="10" spans="6:10" x14ac:dyDescent="0.25">
      <c r="F10" s="89">
        <v>6</v>
      </c>
      <c r="G10" s="82">
        <v>59</v>
      </c>
      <c r="H10" s="2">
        <v>60</v>
      </c>
      <c r="I10" s="2">
        <v>55</v>
      </c>
      <c r="J10" s="72">
        <v>67</v>
      </c>
    </row>
    <row r="11" spans="6:10" x14ac:dyDescent="0.25">
      <c r="F11" s="89">
        <v>7</v>
      </c>
      <c r="G11" s="82">
        <v>61</v>
      </c>
      <c r="H11" s="2">
        <v>60</v>
      </c>
      <c r="I11" s="2">
        <v>52</v>
      </c>
      <c r="J11" s="72">
        <v>73</v>
      </c>
    </row>
    <row r="12" spans="6:10" x14ac:dyDescent="0.25">
      <c r="F12" s="89">
        <v>8</v>
      </c>
      <c r="G12" s="82">
        <v>58</v>
      </c>
      <c r="H12" s="2">
        <v>60</v>
      </c>
      <c r="I12" s="2">
        <v>52</v>
      </c>
      <c r="J12" s="72">
        <v>73</v>
      </c>
    </row>
    <row r="13" spans="6:10" x14ac:dyDescent="0.25">
      <c r="F13" s="89">
        <v>9</v>
      </c>
      <c r="G13" s="82">
        <v>61</v>
      </c>
      <c r="H13" s="2">
        <v>60</v>
      </c>
      <c r="I13" s="2">
        <v>30</v>
      </c>
      <c r="J13" s="72">
        <v>351</v>
      </c>
    </row>
    <row r="14" spans="6:10" x14ac:dyDescent="0.25">
      <c r="F14" s="89">
        <v>10</v>
      </c>
      <c r="G14" s="82">
        <v>59</v>
      </c>
      <c r="H14" s="2">
        <v>60</v>
      </c>
      <c r="I14" s="2">
        <v>30</v>
      </c>
      <c r="J14" s="72">
        <v>351</v>
      </c>
    </row>
    <row r="15" spans="6:10" ht="15.75" thickBot="1" x14ac:dyDescent="0.3">
      <c r="F15" s="90">
        <v>11</v>
      </c>
      <c r="G15" s="83">
        <v>60</v>
      </c>
      <c r="H15" s="45">
        <v>60</v>
      </c>
      <c r="I15" s="45">
        <v>30</v>
      </c>
      <c r="J15" s="84">
        <v>351</v>
      </c>
    </row>
    <row r="20" spans="1:21" ht="15.75" thickBot="1" x14ac:dyDescent="0.3"/>
    <row r="21" spans="1:21" ht="15.75" thickBot="1" x14ac:dyDescent="0.3">
      <c r="A21" s="41"/>
      <c r="B21" s="63" t="s">
        <v>35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</row>
    <row r="22" spans="1:21" ht="15.75" thickBot="1" x14ac:dyDescent="0.3">
      <c r="A22" s="66"/>
      <c r="B22" s="74" t="s">
        <v>3</v>
      </c>
      <c r="C22" s="75" t="s">
        <v>5</v>
      </c>
      <c r="D22" s="75" t="s">
        <v>6</v>
      </c>
      <c r="E22" s="75" t="s">
        <v>7</v>
      </c>
      <c r="F22" s="75" t="s">
        <v>8</v>
      </c>
      <c r="G22" s="75" t="s">
        <v>9</v>
      </c>
      <c r="H22" s="75" t="s">
        <v>10</v>
      </c>
      <c r="I22" s="75" t="s">
        <v>11</v>
      </c>
      <c r="J22" s="76" t="s">
        <v>31</v>
      </c>
      <c r="K22" s="76" t="s">
        <v>30</v>
      </c>
      <c r="L22" s="76" t="s">
        <v>32</v>
      </c>
      <c r="M22" s="77" t="s">
        <v>33</v>
      </c>
      <c r="Q22" s="63" t="s">
        <v>35</v>
      </c>
      <c r="R22" s="64"/>
      <c r="S22" s="64"/>
      <c r="T22" s="64"/>
      <c r="U22" s="65"/>
    </row>
    <row r="23" spans="1:21" x14ac:dyDescent="0.25">
      <c r="A23" s="67">
        <v>1</v>
      </c>
      <c r="B23" s="12">
        <v>16</v>
      </c>
      <c r="C23" s="12">
        <v>16</v>
      </c>
      <c r="D23" s="12">
        <v>17</v>
      </c>
      <c r="E23" s="12">
        <v>16</v>
      </c>
      <c r="F23" s="12">
        <v>16</v>
      </c>
      <c r="G23" s="12">
        <v>16</v>
      </c>
      <c r="H23" s="12">
        <v>17</v>
      </c>
      <c r="I23" s="12">
        <v>19</v>
      </c>
      <c r="J23" s="12">
        <v>16</v>
      </c>
      <c r="K23" s="12">
        <v>17</v>
      </c>
      <c r="L23" s="12">
        <v>16</v>
      </c>
      <c r="M23" s="13">
        <v>17</v>
      </c>
      <c r="Q23" s="78" t="s">
        <v>41</v>
      </c>
      <c r="R23" s="79" t="s">
        <v>37</v>
      </c>
      <c r="S23" s="79" t="s">
        <v>38</v>
      </c>
      <c r="T23" s="79" t="s">
        <v>39</v>
      </c>
      <c r="U23" s="80" t="s">
        <v>0</v>
      </c>
    </row>
    <row r="24" spans="1:21" ht="15.75" thickBot="1" x14ac:dyDescent="0.3">
      <c r="A24" s="68">
        <v>2</v>
      </c>
      <c r="B24" s="2">
        <v>16</v>
      </c>
      <c r="C24" s="2">
        <v>16</v>
      </c>
      <c r="D24" s="2">
        <v>16</v>
      </c>
      <c r="E24" s="2">
        <v>16</v>
      </c>
      <c r="F24" s="2">
        <v>16</v>
      </c>
      <c r="G24" s="2">
        <v>16</v>
      </c>
      <c r="H24" s="2">
        <v>16</v>
      </c>
      <c r="I24" s="2">
        <v>13</v>
      </c>
      <c r="J24" s="2">
        <v>16</v>
      </c>
      <c r="K24" s="2">
        <v>16</v>
      </c>
      <c r="L24" s="2">
        <v>16</v>
      </c>
      <c r="M24" s="72">
        <v>15</v>
      </c>
      <c r="Q24" s="19" t="s">
        <v>40</v>
      </c>
      <c r="R24" s="17">
        <f>SUM(B43:G43)/6</f>
        <v>16.05</v>
      </c>
      <c r="S24" s="17">
        <f>SUM(J43:M43)/4</f>
        <v>15.950000000000001</v>
      </c>
      <c r="T24" s="17">
        <f>SUM(H43:I43)/2</f>
        <v>16.125</v>
      </c>
      <c r="U24" s="91">
        <f>SUM(R24:T24)/3</f>
        <v>16.041666666666668</v>
      </c>
    </row>
    <row r="25" spans="1:21" x14ac:dyDescent="0.25">
      <c r="A25" s="68">
        <v>3</v>
      </c>
      <c r="B25" s="2">
        <v>16</v>
      </c>
      <c r="C25" s="2">
        <v>16</v>
      </c>
      <c r="D25" s="2">
        <v>16</v>
      </c>
      <c r="E25" s="2">
        <v>16</v>
      </c>
      <c r="F25" s="2">
        <v>16</v>
      </c>
      <c r="G25" s="2">
        <v>16</v>
      </c>
      <c r="H25" s="2">
        <v>15</v>
      </c>
      <c r="I25" s="2">
        <v>16</v>
      </c>
      <c r="J25" s="2">
        <v>16</v>
      </c>
      <c r="K25" s="2">
        <v>16</v>
      </c>
      <c r="L25" s="2">
        <v>16</v>
      </c>
      <c r="M25" s="72">
        <v>16</v>
      </c>
    </row>
    <row r="26" spans="1:21" x14ac:dyDescent="0.25">
      <c r="A26" s="68">
        <v>4</v>
      </c>
      <c r="B26" s="2">
        <v>16</v>
      </c>
      <c r="C26" s="2">
        <v>16</v>
      </c>
      <c r="D26" s="2">
        <v>16</v>
      </c>
      <c r="E26" s="2">
        <v>16</v>
      </c>
      <c r="F26" s="2">
        <v>16</v>
      </c>
      <c r="G26" s="2">
        <v>16</v>
      </c>
      <c r="H26" s="2">
        <v>16</v>
      </c>
      <c r="I26" s="2">
        <v>17</v>
      </c>
      <c r="J26" s="2">
        <v>17</v>
      </c>
      <c r="K26" s="2">
        <v>16</v>
      </c>
      <c r="L26" s="2">
        <v>16</v>
      </c>
      <c r="M26" s="72">
        <v>16</v>
      </c>
    </row>
    <row r="27" spans="1:21" x14ac:dyDescent="0.25">
      <c r="A27" s="68">
        <v>5</v>
      </c>
      <c r="B27" s="2">
        <v>16</v>
      </c>
      <c r="C27" s="2">
        <v>16</v>
      </c>
      <c r="D27" s="2">
        <v>16</v>
      </c>
      <c r="E27" s="2">
        <v>16</v>
      </c>
      <c r="F27" s="2">
        <v>16</v>
      </c>
      <c r="G27" s="2">
        <v>16</v>
      </c>
      <c r="H27" s="2">
        <v>16</v>
      </c>
      <c r="I27" s="2">
        <v>17</v>
      </c>
      <c r="J27" s="2">
        <v>16</v>
      </c>
      <c r="K27" s="2">
        <v>16</v>
      </c>
      <c r="L27" s="2">
        <v>16</v>
      </c>
      <c r="M27" s="72">
        <v>17</v>
      </c>
    </row>
    <row r="28" spans="1:21" x14ac:dyDescent="0.25">
      <c r="A28" s="68">
        <v>6</v>
      </c>
      <c r="B28" s="2">
        <v>16</v>
      </c>
      <c r="C28" s="2">
        <v>16</v>
      </c>
      <c r="D28" s="2">
        <v>16</v>
      </c>
      <c r="E28" s="2">
        <v>16</v>
      </c>
      <c r="F28" s="2">
        <v>16</v>
      </c>
      <c r="G28" s="2">
        <v>16</v>
      </c>
      <c r="H28" s="2">
        <v>16</v>
      </c>
      <c r="I28" s="2">
        <v>15</v>
      </c>
      <c r="J28" s="2">
        <v>16</v>
      </c>
      <c r="K28" s="2">
        <v>16</v>
      </c>
      <c r="L28" s="2">
        <v>16</v>
      </c>
      <c r="M28" s="72">
        <v>16</v>
      </c>
    </row>
    <row r="29" spans="1:21" x14ac:dyDescent="0.25">
      <c r="A29" s="68">
        <v>7</v>
      </c>
      <c r="B29" s="2">
        <v>16</v>
      </c>
      <c r="C29" s="2">
        <v>16</v>
      </c>
      <c r="D29" s="2">
        <v>17</v>
      </c>
      <c r="E29" s="2">
        <v>16</v>
      </c>
      <c r="F29" s="2">
        <v>16</v>
      </c>
      <c r="G29" s="2">
        <v>16</v>
      </c>
      <c r="H29" s="2">
        <v>16</v>
      </c>
      <c r="I29" s="2">
        <v>16</v>
      </c>
      <c r="J29" s="2">
        <v>16</v>
      </c>
      <c r="K29" s="2">
        <v>16</v>
      </c>
      <c r="L29" s="2">
        <v>16</v>
      </c>
      <c r="M29" s="72">
        <v>16</v>
      </c>
    </row>
    <row r="30" spans="1:21" x14ac:dyDescent="0.25">
      <c r="A30" s="68">
        <v>8</v>
      </c>
      <c r="B30" s="2">
        <v>16</v>
      </c>
      <c r="C30" s="2">
        <v>16</v>
      </c>
      <c r="D30" s="2">
        <v>16</v>
      </c>
      <c r="E30" s="2">
        <v>17</v>
      </c>
      <c r="F30" s="2">
        <v>16</v>
      </c>
      <c r="G30" s="2">
        <v>16</v>
      </c>
      <c r="H30" s="2">
        <v>16</v>
      </c>
      <c r="I30" s="2">
        <v>16</v>
      </c>
      <c r="J30" s="2">
        <v>16</v>
      </c>
      <c r="K30" s="2">
        <v>16</v>
      </c>
      <c r="L30" s="2">
        <v>16</v>
      </c>
      <c r="M30" s="72">
        <v>16</v>
      </c>
    </row>
    <row r="31" spans="1:21" x14ac:dyDescent="0.25">
      <c r="A31" s="68">
        <v>9</v>
      </c>
      <c r="B31" s="2">
        <v>16</v>
      </c>
      <c r="C31" s="2">
        <v>16</v>
      </c>
      <c r="D31" s="2">
        <v>16</v>
      </c>
      <c r="E31" s="2">
        <v>16</v>
      </c>
      <c r="F31" s="2">
        <v>16</v>
      </c>
      <c r="G31" s="2">
        <v>16</v>
      </c>
      <c r="H31" s="2">
        <v>16</v>
      </c>
      <c r="I31" s="2">
        <v>16</v>
      </c>
      <c r="J31" s="2">
        <v>16</v>
      </c>
      <c r="K31" s="2">
        <v>16</v>
      </c>
      <c r="L31" s="2">
        <v>16</v>
      </c>
      <c r="M31" s="72">
        <v>16</v>
      </c>
    </row>
    <row r="32" spans="1:21" x14ac:dyDescent="0.25">
      <c r="A32" s="68">
        <v>10</v>
      </c>
      <c r="B32" s="2">
        <v>16</v>
      </c>
      <c r="C32" s="2">
        <v>16</v>
      </c>
      <c r="D32" s="2">
        <v>16</v>
      </c>
      <c r="E32" s="2">
        <v>16</v>
      </c>
      <c r="F32" s="2">
        <v>16</v>
      </c>
      <c r="G32" s="2">
        <v>16</v>
      </c>
      <c r="H32" s="2">
        <v>16</v>
      </c>
      <c r="I32" s="2">
        <v>16</v>
      </c>
      <c r="J32" s="2">
        <v>16</v>
      </c>
      <c r="K32" s="2">
        <v>15</v>
      </c>
      <c r="L32" s="2">
        <v>16</v>
      </c>
      <c r="M32" s="72">
        <v>16</v>
      </c>
    </row>
    <row r="33" spans="1:13" x14ac:dyDescent="0.25">
      <c r="A33" s="68">
        <v>11</v>
      </c>
      <c r="B33" s="2">
        <v>16</v>
      </c>
      <c r="C33" s="2">
        <v>16</v>
      </c>
      <c r="D33" s="2">
        <v>17</v>
      </c>
      <c r="E33" s="2">
        <v>16</v>
      </c>
      <c r="F33" s="2">
        <v>16</v>
      </c>
      <c r="G33" s="2">
        <v>16</v>
      </c>
      <c r="H33" s="2">
        <v>16</v>
      </c>
      <c r="I33" s="2">
        <v>16</v>
      </c>
      <c r="J33" s="2">
        <v>16</v>
      </c>
      <c r="K33" s="2">
        <v>16</v>
      </c>
      <c r="L33" s="2">
        <v>16</v>
      </c>
      <c r="M33" s="72">
        <v>16</v>
      </c>
    </row>
    <row r="34" spans="1:13" x14ac:dyDescent="0.25">
      <c r="A34" s="68">
        <v>12</v>
      </c>
      <c r="B34" s="2">
        <v>17</v>
      </c>
      <c r="C34" s="2">
        <v>16</v>
      </c>
      <c r="D34" s="2">
        <v>16</v>
      </c>
      <c r="E34" s="2">
        <v>16</v>
      </c>
      <c r="F34" s="2">
        <v>16</v>
      </c>
      <c r="G34" s="2">
        <v>16</v>
      </c>
      <c r="H34" s="2">
        <v>16</v>
      </c>
      <c r="I34" s="2">
        <v>20</v>
      </c>
      <c r="J34" s="2">
        <v>17</v>
      </c>
      <c r="K34" s="2">
        <v>16</v>
      </c>
      <c r="L34" s="2">
        <v>16</v>
      </c>
      <c r="M34" s="72">
        <v>16</v>
      </c>
    </row>
    <row r="35" spans="1:13" x14ac:dyDescent="0.25">
      <c r="A35" s="68">
        <v>13</v>
      </c>
      <c r="B35" s="2">
        <v>16</v>
      </c>
      <c r="C35" s="2">
        <v>16</v>
      </c>
      <c r="D35" s="2">
        <v>16</v>
      </c>
      <c r="E35" s="2">
        <v>16</v>
      </c>
      <c r="F35" s="2">
        <v>16</v>
      </c>
      <c r="G35" s="2">
        <v>16</v>
      </c>
      <c r="H35" s="2">
        <v>16</v>
      </c>
      <c r="I35" s="2">
        <v>16</v>
      </c>
      <c r="J35" s="2">
        <v>16</v>
      </c>
      <c r="K35" s="2">
        <v>16</v>
      </c>
      <c r="L35" s="2">
        <v>16</v>
      </c>
      <c r="M35" s="72">
        <v>16</v>
      </c>
    </row>
    <row r="36" spans="1:13" x14ac:dyDescent="0.25">
      <c r="A36" s="68">
        <v>14</v>
      </c>
      <c r="B36" s="2">
        <v>16</v>
      </c>
      <c r="C36" s="2">
        <v>17</v>
      </c>
      <c r="D36" s="2">
        <v>16</v>
      </c>
      <c r="E36" s="2">
        <v>16</v>
      </c>
      <c r="F36" s="2">
        <v>16</v>
      </c>
      <c r="G36" s="2">
        <v>16</v>
      </c>
      <c r="H36" s="2">
        <v>16</v>
      </c>
      <c r="I36" s="2">
        <v>16</v>
      </c>
      <c r="J36" s="2">
        <v>16</v>
      </c>
      <c r="K36" s="2">
        <v>16</v>
      </c>
      <c r="L36" s="2">
        <v>15</v>
      </c>
      <c r="M36" s="72">
        <v>16</v>
      </c>
    </row>
    <row r="37" spans="1:13" x14ac:dyDescent="0.25">
      <c r="A37" s="68">
        <v>15</v>
      </c>
      <c r="B37" s="2">
        <v>16</v>
      </c>
      <c r="C37" s="2">
        <v>16</v>
      </c>
      <c r="D37" s="2">
        <v>16</v>
      </c>
      <c r="E37" s="2">
        <v>16</v>
      </c>
      <c r="F37" s="2">
        <v>16</v>
      </c>
      <c r="G37" s="2">
        <v>16</v>
      </c>
      <c r="H37" s="2">
        <v>16</v>
      </c>
      <c r="I37" s="2">
        <v>16</v>
      </c>
      <c r="J37" s="2">
        <v>16</v>
      </c>
      <c r="K37" s="2">
        <v>16</v>
      </c>
      <c r="L37" s="2">
        <v>17</v>
      </c>
      <c r="M37" s="72">
        <v>16</v>
      </c>
    </row>
    <row r="38" spans="1:13" x14ac:dyDescent="0.25">
      <c r="A38" s="68">
        <v>16</v>
      </c>
      <c r="B38" s="2">
        <v>16</v>
      </c>
      <c r="C38" s="2">
        <v>16</v>
      </c>
      <c r="D38" s="2">
        <v>16</v>
      </c>
      <c r="E38" s="2">
        <v>16</v>
      </c>
      <c r="F38" s="2">
        <v>16</v>
      </c>
      <c r="G38" s="2">
        <v>16</v>
      </c>
      <c r="H38" s="2">
        <v>16</v>
      </c>
      <c r="I38" s="2">
        <v>16</v>
      </c>
      <c r="J38" s="2">
        <v>16</v>
      </c>
      <c r="K38" s="2">
        <v>16</v>
      </c>
      <c r="L38" s="2">
        <v>16</v>
      </c>
      <c r="M38" s="72">
        <v>17</v>
      </c>
    </row>
    <row r="39" spans="1:13" x14ac:dyDescent="0.25">
      <c r="A39" s="68">
        <v>17</v>
      </c>
      <c r="B39" s="2">
        <v>16</v>
      </c>
      <c r="C39" s="2">
        <v>16</v>
      </c>
      <c r="D39" s="2">
        <v>16</v>
      </c>
      <c r="E39" s="2">
        <v>16</v>
      </c>
      <c r="F39" s="2">
        <v>16</v>
      </c>
      <c r="G39" s="2">
        <v>16</v>
      </c>
      <c r="H39" s="2">
        <v>16</v>
      </c>
      <c r="I39" s="2">
        <v>16</v>
      </c>
      <c r="J39" s="2">
        <v>16</v>
      </c>
      <c r="K39" s="2">
        <v>16</v>
      </c>
      <c r="L39" s="2">
        <v>16</v>
      </c>
      <c r="M39" s="72">
        <v>16</v>
      </c>
    </row>
    <row r="40" spans="1:13" x14ac:dyDescent="0.25">
      <c r="A40" s="68">
        <v>18</v>
      </c>
      <c r="B40" s="2">
        <v>15</v>
      </c>
      <c r="C40" s="2">
        <v>16</v>
      </c>
      <c r="D40" s="2">
        <v>16</v>
      </c>
      <c r="E40" s="2">
        <v>16</v>
      </c>
      <c r="F40" s="2">
        <v>16</v>
      </c>
      <c r="G40" s="2">
        <v>16</v>
      </c>
      <c r="H40" s="2">
        <v>16</v>
      </c>
      <c r="I40" s="2">
        <v>16</v>
      </c>
      <c r="J40" s="2">
        <v>16</v>
      </c>
      <c r="K40" s="2">
        <v>16</v>
      </c>
      <c r="L40" s="2">
        <v>16</v>
      </c>
      <c r="M40" s="72">
        <v>16</v>
      </c>
    </row>
    <row r="41" spans="1:13" x14ac:dyDescent="0.25">
      <c r="A41" s="68">
        <v>19</v>
      </c>
      <c r="B41" s="2">
        <v>16</v>
      </c>
      <c r="C41" s="2">
        <v>16</v>
      </c>
      <c r="D41" s="2">
        <v>16</v>
      </c>
      <c r="E41" s="2">
        <v>16</v>
      </c>
      <c r="F41" s="2">
        <v>16</v>
      </c>
      <c r="G41" s="2">
        <v>16</v>
      </c>
      <c r="H41" s="2">
        <v>16</v>
      </c>
      <c r="I41" s="2">
        <v>16</v>
      </c>
      <c r="J41" s="2">
        <v>8</v>
      </c>
      <c r="K41" s="2">
        <v>16</v>
      </c>
      <c r="L41" s="2">
        <v>16</v>
      </c>
      <c r="M41" s="72">
        <v>16</v>
      </c>
    </row>
    <row r="42" spans="1:13" ht="15.75" thickBot="1" x14ac:dyDescent="0.3">
      <c r="A42" s="69">
        <v>20</v>
      </c>
      <c r="B42" s="2">
        <v>16</v>
      </c>
      <c r="C42" s="2">
        <v>16</v>
      </c>
      <c r="D42" s="2">
        <v>16</v>
      </c>
      <c r="E42" s="2">
        <v>16</v>
      </c>
      <c r="F42" s="2">
        <v>16</v>
      </c>
      <c r="G42" s="73">
        <v>17</v>
      </c>
      <c r="H42" s="2">
        <v>16</v>
      </c>
      <c r="I42" s="2">
        <v>16</v>
      </c>
      <c r="J42" s="73">
        <v>16</v>
      </c>
      <c r="K42" s="2">
        <v>16</v>
      </c>
      <c r="L42" s="2">
        <v>16</v>
      </c>
      <c r="M42" s="72">
        <v>16</v>
      </c>
    </row>
    <row r="43" spans="1:13" ht="15.75" thickBot="1" x14ac:dyDescent="0.3">
      <c r="A43" s="70" t="s">
        <v>36</v>
      </c>
      <c r="B43" s="70">
        <f>SUM(B23:B42)/20</f>
        <v>16</v>
      </c>
      <c r="C43" s="70">
        <f t="shared" ref="C43:M43" si="0">SUM(C23:C42)/20</f>
        <v>16.05</v>
      </c>
      <c r="D43" s="70">
        <f t="shared" si="0"/>
        <v>16.149999999999999</v>
      </c>
      <c r="E43" s="70">
        <f t="shared" si="0"/>
        <v>16.05</v>
      </c>
      <c r="F43" s="70">
        <f t="shared" si="0"/>
        <v>16</v>
      </c>
      <c r="G43" s="70">
        <f t="shared" si="0"/>
        <v>16.05</v>
      </c>
      <c r="H43" s="70">
        <f t="shared" si="0"/>
        <v>16</v>
      </c>
      <c r="I43" s="70">
        <f t="shared" si="0"/>
        <v>16.25</v>
      </c>
      <c r="J43" s="70">
        <f t="shared" si="0"/>
        <v>15.7</v>
      </c>
      <c r="K43" s="70">
        <f t="shared" si="0"/>
        <v>16</v>
      </c>
      <c r="L43" s="70">
        <f t="shared" si="0"/>
        <v>16</v>
      </c>
      <c r="M43" s="70">
        <f t="shared" si="0"/>
        <v>16.100000000000001</v>
      </c>
    </row>
  </sheetData>
  <mergeCells count="3">
    <mergeCell ref="B21:M21"/>
    <mergeCell ref="Q22:U22"/>
    <mergeCell ref="G3:J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C25" sqref="C25:F36"/>
    </sheetView>
  </sheetViews>
  <sheetFormatPr baseColWidth="10" defaultRowHeight="15" x14ac:dyDescent="0.25"/>
  <cols>
    <col min="4" max="4" width="17.28515625" customWidth="1"/>
    <col min="5" max="5" width="19.28515625" customWidth="1"/>
    <col min="6" max="6" width="21.5703125" customWidth="1"/>
  </cols>
  <sheetData>
    <row r="1" spans="1:6" x14ac:dyDescent="0.25">
      <c r="A1" t="s">
        <v>47</v>
      </c>
    </row>
    <row r="6" spans="1:6" ht="15.75" thickBot="1" x14ac:dyDescent="0.3"/>
    <row r="7" spans="1:6" ht="15.75" thickBot="1" x14ac:dyDescent="0.3">
      <c r="C7" s="98" t="s">
        <v>52</v>
      </c>
      <c r="D7" s="99"/>
      <c r="E7" s="99"/>
      <c r="F7" s="100"/>
    </row>
    <row r="8" spans="1:6" ht="15.75" thickBot="1" x14ac:dyDescent="0.3">
      <c r="C8" s="85" t="s">
        <v>56</v>
      </c>
      <c r="D8" s="103" t="s">
        <v>53</v>
      </c>
      <c r="E8" s="103" t="s">
        <v>54</v>
      </c>
      <c r="F8" s="104" t="s">
        <v>55</v>
      </c>
    </row>
    <row r="9" spans="1:6" x14ac:dyDescent="0.25">
      <c r="C9" s="101">
        <v>1</v>
      </c>
      <c r="D9" s="28">
        <v>9.9</v>
      </c>
      <c r="E9" s="28">
        <v>10</v>
      </c>
      <c r="F9" s="102">
        <f>ABS((D9-E9))/E9</f>
        <v>9.9999999999999638E-3</v>
      </c>
    </row>
    <row r="10" spans="1:6" x14ac:dyDescent="0.25">
      <c r="C10" s="82">
        <v>2</v>
      </c>
      <c r="D10" s="3">
        <v>20</v>
      </c>
      <c r="E10" s="3">
        <v>20.3</v>
      </c>
      <c r="F10" s="95">
        <f>(ABS((D10-E10))/E10)</f>
        <v>1.4778325123152743E-2</v>
      </c>
    </row>
    <row r="11" spans="1:6" x14ac:dyDescent="0.25">
      <c r="C11" s="82">
        <v>3</v>
      </c>
      <c r="D11" s="3">
        <v>5.4</v>
      </c>
      <c r="E11" s="3">
        <v>5</v>
      </c>
      <c r="F11" s="95">
        <f t="shared" ref="F10:F18" si="0">ABS((D11-E11))/E11</f>
        <v>8.0000000000000071E-2</v>
      </c>
    </row>
    <row r="12" spans="1:6" x14ac:dyDescent="0.25">
      <c r="C12" s="82">
        <v>4</v>
      </c>
      <c r="D12" s="3">
        <v>16</v>
      </c>
      <c r="E12" s="3">
        <v>15</v>
      </c>
      <c r="F12" s="95">
        <f t="shared" si="0"/>
        <v>6.6666666666666666E-2</v>
      </c>
    </row>
    <row r="13" spans="1:6" x14ac:dyDescent="0.25">
      <c r="C13" s="82">
        <v>5</v>
      </c>
      <c r="D13" s="3">
        <v>25</v>
      </c>
      <c r="E13" s="3">
        <v>25.5</v>
      </c>
      <c r="F13" s="95">
        <f t="shared" si="0"/>
        <v>1.9607843137254902E-2</v>
      </c>
    </row>
    <row r="14" spans="1:6" x14ac:dyDescent="0.25">
      <c r="C14" s="82">
        <v>6</v>
      </c>
      <c r="D14" s="3">
        <v>32.799999999999997</v>
      </c>
      <c r="E14" s="3">
        <v>30</v>
      </c>
      <c r="F14" s="95">
        <f t="shared" si="0"/>
        <v>9.333333333333324E-2</v>
      </c>
    </row>
    <row r="15" spans="1:6" x14ac:dyDescent="0.25">
      <c r="C15" s="82">
        <v>7</v>
      </c>
      <c r="D15" s="3">
        <v>34.799999999999997</v>
      </c>
      <c r="E15" s="3">
        <v>35</v>
      </c>
      <c r="F15" s="95">
        <f t="shared" si="0"/>
        <v>5.7142857142857958E-3</v>
      </c>
    </row>
    <row r="16" spans="1:6" x14ac:dyDescent="0.25">
      <c r="C16" s="82">
        <v>8</v>
      </c>
      <c r="D16" s="3">
        <v>9.6999999999999993</v>
      </c>
      <c r="E16" s="3">
        <v>10</v>
      </c>
      <c r="F16" s="95">
        <f t="shared" si="0"/>
        <v>3.0000000000000072E-2</v>
      </c>
    </row>
    <row r="17" spans="3:6" x14ac:dyDescent="0.25">
      <c r="C17" s="82">
        <v>9</v>
      </c>
      <c r="D17" s="3">
        <v>21.5</v>
      </c>
      <c r="E17" s="3">
        <v>22</v>
      </c>
      <c r="F17" s="95">
        <f t="shared" si="0"/>
        <v>2.2727272727272728E-2</v>
      </c>
    </row>
    <row r="18" spans="3:6" ht="15.75" thickBot="1" x14ac:dyDescent="0.3">
      <c r="C18" s="83">
        <v>10</v>
      </c>
      <c r="D18" s="17">
        <v>32.5</v>
      </c>
      <c r="E18" s="17">
        <v>33</v>
      </c>
      <c r="F18" s="96">
        <f t="shared" si="0"/>
        <v>1.5151515151515152E-2</v>
      </c>
    </row>
    <row r="19" spans="3:6" ht="15.75" thickBot="1" x14ac:dyDescent="0.3">
      <c r="C19" s="1"/>
      <c r="E19" s="105" t="s">
        <v>57</v>
      </c>
      <c r="F19" s="106">
        <f>SUM(F9:F18)/C18</f>
        <v>3.5797924185348121E-2</v>
      </c>
    </row>
    <row r="20" spans="3:6" x14ac:dyDescent="0.25">
      <c r="C20" s="1"/>
    </row>
    <row r="21" spans="3:6" x14ac:dyDescent="0.25">
      <c r="C21" s="1"/>
    </row>
    <row r="22" spans="3:6" x14ac:dyDescent="0.25">
      <c r="C22" s="1"/>
    </row>
    <row r="23" spans="3:6" ht="15.75" thickBot="1" x14ac:dyDescent="0.3">
      <c r="C23" s="1"/>
    </row>
    <row r="24" spans="3:6" ht="15.75" thickBot="1" x14ac:dyDescent="0.3">
      <c r="C24" s="98" t="s">
        <v>49</v>
      </c>
      <c r="D24" s="99"/>
      <c r="E24" s="99"/>
      <c r="F24" s="100"/>
    </row>
    <row r="25" spans="3:6" ht="15.75" thickBot="1" x14ac:dyDescent="0.3">
      <c r="C25" s="85" t="s">
        <v>56</v>
      </c>
      <c r="D25" s="103" t="s">
        <v>50</v>
      </c>
      <c r="E25" s="103" t="s">
        <v>51</v>
      </c>
      <c r="F25" s="104" t="s">
        <v>48</v>
      </c>
    </row>
    <row r="26" spans="3:6" x14ac:dyDescent="0.25">
      <c r="C26" s="101">
        <v>1</v>
      </c>
      <c r="D26" s="28">
        <v>9.1999999999999993</v>
      </c>
      <c r="E26" s="28">
        <v>10</v>
      </c>
      <c r="F26" s="102">
        <f>ABS((D26-E26))/E26</f>
        <v>8.0000000000000071E-2</v>
      </c>
    </row>
    <row r="27" spans="3:6" x14ac:dyDescent="0.25">
      <c r="C27" s="82">
        <v>2</v>
      </c>
      <c r="D27" s="3">
        <v>18.2</v>
      </c>
      <c r="E27" s="3">
        <v>20</v>
      </c>
      <c r="F27" s="95">
        <f t="shared" ref="F27:F35" si="1">ABS((D27-E27))/E27</f>
        <v>9.0000000000000038E-2</v>
      </c>
    </row>
    <row r="28" spans="3:6" x14ac:dyDescent="0.25">
      <c r="C28" s="82">
        <v>3</v>
      </c>
      <c r="D28" s="3">
        <v>4.5999999999999996</v>
      </c>
      <c r="E28" s="3">
        <v>5</v>
      </c>
      <c r="F28" s="95">
        <f t="shared" si="1"/>
        <v>8.0000000000000071E-2</v>
      </c>
    </row>
    <row r="29" spans="3:6" x14ac:dyDescent="0.25">
      <c r="C29" s="82">
        <v>4</v>
      </c>
      <c r="D29" s="3">
        <v>16</v>
      </c>
      <c r="E29" s="3">
        <v>15</v>
      </c>
      <c r="F29" s="95">
        <f t="shared" si="1"/>
        <v>6.6666666666666666E-2</v>
      </c>
    </row>
    <row r="30" spans="3:6" x14ac:dyDescent="0.25">
      <c r="C30" s="82">
        <v>5</v>
      </c>
      <c r="D30" s="3">
        <v>23</v>
      </c>
      <c r="E30" s="3">
        <v>25</v>
      </c>
      <c r="F30" s="95">
        <f t="shared" si="1"/>
        <v>0.08</v>
      </c>
    </row>
    <row r="31" spans="3:6" x14ac:dyDescent="0.25">
      <c r="C31" s="82">
        <v>6</v>
      </c>
      <c r="D31" s="3">
        <v>32</v>
      </c>
      <c r="E31" s="3">
        <v>30</v>
      </c>
      <c r="F31" s="95">
        <f t="shared" si="1"/>
        <v>6.6666666666666666E-2</v>
      </c>
    </row>
    <row r="32" spans="3:6" x14ac:dyDescent="0.25">
      <c r="C32" s="82">
        <v>7</v>
      </c>
      <c r="D32" s="3">
        <v>32</v>
      </c>
      <c r="E32" s="3">
        <v>35</v>
      </c>
      <c r="F32" s="95">
        <f t="shared" si="1"/>
        <v>8.5714285714285715E-2</v>
      </c>
    </row>
    <row r="33" spans="3:6" x14ac:dyDescent="0.25">
      <c r="C33" s="82">
        <v>8</v>
      </c>
      <c r="D33" s="3">
        <v>9.1</v>
      </c>
      <c r="E33" s="3">
        <v>10</v>
      </c>
      <c r="F33" s="95">
        <f t="shared" si="1"/>
        <v>9.0000000000000038E-2</v>
      </c>
    </row>
    <row r="34" spans="3:6" x14ac:dyDescent="0.25">
      <c r="C34" s="82">
        <v>9</v>
      </c>
      <c r="D34" s="3">
        <v>21</v>
      </c>
      <c r="E34" s="3">
        <v>22</v>
      </c>
      <c r="F34" s="95">
        <f t="shared" si="1"/>
        <v>4.5454545454545456E-2</v>
      </c>
    </row>
    <row r="35" spans="3:6" ht="15.75" thickBot="1" x14ac:dyDescent="0.3">
      <c r="C35" s="83">
        <v>10</v>
      </c>
      <c r="D35" s="17">
        <v>33.200000000000003</v>
      </c>
      <c r="E35" s="17">
        <v>33</v>
      </c>
      <c r="F35" s="96">
        <f t="shared" si="1"/>
        <v>6.0606060606061465E-3</v>
      </c>
    </row>
    <row r="36" spans="3:6" ht="15.75" thickBot="1" x14ac:dyDescent="0.3">
      <c r="C36" s="1"/>
      <c r="E36" s="105" t="s">
        <v>57</v>
      </c>
      <c r="F36" s="106">
        <f>SUM(F26:F35)/C35</f>
        <v>6.9056277056277079E-2</v>
      </c>
    </row>
  </sheetData>
  <mergeCells count="2">
    <mergeCell ref="C24:F24"/>
    <mergeCell ref="C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4"/>
  <sheetViews>
    <sheetView tabSelected="1" topLeftCell="A19" workbookViewId="0">
      <selection activeCell="B3" sqref="B3:E54"/>
    </sheetView>
  </sheetViews>
  <sheetFormatPr baseColWidth="10" defaultRowHeight="15" x14ac:dyDescent="0.25"/>
  <cols>
    <col min="2" max="2" width="37.28515625" bestFit="1" customWidth="1"/>
    <col min="3" max="3" width="22.5703125" customWidth="1"/>
    <col min="4" max="4" width="24.5703125" customWidth="1"/>
    <col min="5" max="5" width="12.85546875" customWidth="1"/>
  </cols>
  <sheetData>
    <row r="2" spans="2:5" ht="15.75" thickBot="1" x14ac:dyDescent="0.3"/>
    <row r="3" spans="2:5" ht="15.75" thickBot="1" x14ac:dyDescent="0.3">
      <c r="B3" s="85" t="s">
        <v>58</v>
      </c>
      <c r="C3" s="86" t="s">
        <v>59</v>
      </c>
      <c r="D3" s="86" t="s">
        <v>60</v>
      </c>
      <c r="E3" s="87" t="s">
        <v>61</v>
      </c>
    </row>
    <row r="4" spans="2:5" x14ac:dyDescent="0.25">
      <c r="B4" s="107" t="s">
        <v>62</v>
      </c>
      <c r="C4" s="108">
        <v>1</v>
      </c>
      <c r="D4" s="108">
        <v>220</v>
      </c>
      <c r="E4" s="109">
        <v>220</v>
      </c>
    </row>
    <row r="5" spans="2:5" x14ac:dyDescent="0.25">
      <c r="B5" s="97" t="s">
        <v>63</v>
      </c>
      <c r="C5" s="110">
        <v>1</v>
      </c>
      <c r="D5" s="110">
        <v>52</v>
      </c>
      <c r="E5" s="111">
        <v>52</v>
      </c>
    </row>
    <row r="6" spans="2:5" x14ac:dyDescent="0.25">
      <c r="B6" s="97" t="s">
        <v>64</v>
      </c>
      <c r="C6" s="110">
        <v>2</v>
      </c>
      <c r="D6" s="110">
        <v>4</v>
      </c>
      <c r="E6" s="111">
        <v>8</v>
      </c>
    </row>
    <row r="7" spans="2:5" x14ac:dyDescent="0.25">
      <c r="B7" s="97" t="s">
        <v>65</v>
      </c>
      <c r="C7" s="110">
        <v>4</v>
      </c>
      <c r="D7" s="110">
        <v>2</v>
      </c>
      <c r="E7" s="111">
        <v>8</v>
      </c>
    </row>
    <row r="8" spans="2:5" x14ac:dyDescent="0.25">
      <c r="B8" s="97" t="s">
        <v>66</v>
      </c>
      <c r="C8" s="110">
        <v>2</v>
      </c>
      <c r="D8" s="110">
        <v>3</v>
      </c>
      <c r="E8" s="111">
        <v>6</v>
      </c>
    </row>
    <row r="9" spans="2:5" x14ac:dyDescent="0.25">
      <c r="B9" s="97" t="s">
        <v>67</v>
      </c>
      <c r="C9" s="110">
        <v>2</v>
      </c>
      <c r="D9" s="110">
        <v>2</v>
      </c>
      <c r="E9" s="111">
        <v>4</v>
      </c>
    </row>
    <row r="10" spans="2:5" x14ac:dyDescent="0.25">
      <c r="B10" s="97" t="s">
        <v>68</v>
      </c>
      <c r="C10" s="110">
        <v>4</v>
      </c>
      <c r="D10" s="110">
        <v>1</v>
      </c>
      <c r="E10" s="111">
        <v>4</v>
      </c>
    </row>
    <row r="11" spans="2:5" x14ac:dyDescent="0.25">
      <c r="B11" s="97" t="s">
        <v>69</v>
      </c>
      <c r="C11" s="110">
        <v>8</v>
      </c>
      <c r="D11" s="110">
        <v>1</v>
      </c>
      <c r="E11" s="111">
        <v>8</v>
      </c>
    </row>
    <row r="12" spans="2:5" x14ac:dyDescent="0.25">
      <c r="B12" s="97" t="s">
        <v>70</v>
      </c>
      <c r="C12" s="110">
        <v>2</v>
      </c>
      <c r="D12" s="110">
        <v>2</v>
      </c>
      <c r="E12" s="111">
        <v>4</v>
      </c>
    </row>
    <row r="13" spans="2:5" x14ac:dyDescent="0.25">
      <c r="B13" s="97" t="s">
        <v>71</v>
      </c>
      <c r="C13" s="110" t="s">
        <v>72</v>
      </c>
      <c r="D13" s="110">
        <v>5</v>
      </c>
      <c r="E13" s="111">
        <v>10</v>
      </c>
    </row>
    <row r="14" spans="2:5" x14ac:dyDescent="0.25">
      <c r="B14" s="97" t="s">
        <v>73</v>
      </c>
      <c r="C14" s="110" t="s">
        <v>72</v>
      </c>
      <c r="D14" s="110">
        <v>10</v>
      </c>
      <c r="E14" s="111">
        <v>20</v>
      </c>
    </row>
    <row r="15" spans="2:5" ht="15.75" thickBot="1" x14ac:dyDescent="0.3">
      <c r="B15" s="112" t="s">
        <v>74</v>
      </c>
      <c r="C15" s="113">
        <v>5</v>
      </c>
      <c r="D15" s="113">
        <v>5</v>
      </c>
      <c r="E15" s="114">
        <v>25</v>
      </c>
    </row>
    <row r="16" spans="2:5" ht="15.75" thickBot="1" x14ac:dyDescent="0.3">
      <c r="B16" s="115" t="s">
        <v>75</v>
      </c>
      <c r="C16" s="116"/>
      <c r="D16" s="116"/>
      <c r="E16" s="117" t="s">
        <v>76</v>
      </c>
    </row>
    <row r="17" spans="2:5" ht="15.75" thickBot="1" x14ac:dyDescent="0.3">
      <c r="B17" s="53"/>
      <c r="C17" s="53"/>
      <c r="D17" s="53"/>
      <c r="E17" s="53"/>
    </row>
    <row r="18" spans="2:5" ht="15.75" thickBot="1" x14ac:dyDescent="0.3">
      <c r="B18" s="85" t="s">
        <v>58</v>
      </c>
      <c r="C18" s="86" t="s">
        <v>59</v>
      </c>
      <c r="D18" s="86" t="s">
        <v>60</v>
      </c>
      <c r="E18" s="87" t="s">
        <v>61</v>
      </c>
    </row>
    <row r="19" spans="2:5" x14ac:dyDescent="0.25">
      <c r="B19" s="107" t="s">
        <v>77</v>
      </c>
      <c r="C19" s="108">
        <v>2</v>
      </c>
      <c r="D19" s="108">
        <v>25</v>
      </c>
      <c r="E19" s="109">
        <v>50</v>
      </c>
    </row>
    <row r="20" spans="2:5" x14ac:dyDescent="0.25">
      <c r="B20" s="97" t="s">
        <v>78</v>
      </c>
      <c r="C20" s="110">
        <v>1</v>
      </c>
      <c r="D20" s="110">
        <v>20</v>
      </c>
      <c r="E20" s="111">
        <v>20</v>
      </c>
    </row>
    <row r="21" spans="2:5" ht="15.75" thickBot="1" x14ac:dyDescent="0.3">
      <c r="B21" s="112" t="s">
        <v>79</v>
      </c>
      <c r="C21" s="113">
        <v>2</v>
      </c>
      <c r="D21" s="113">
        <v>5</v>
      </c>
      <c r="E21" s="114">
        <v>10</v>
      </c>
    </row>
    <row r="22" spans="2:5" ht="15.75" thickBot="1" x14ac:dyDescent="0.3">
      <c r="B22" s="115" t="s">
        <v>80</v>
      </c>
      <c r="C22" s="116"/>
      <c r="D22" s="116"/>
      <c r="E22" s="117" t="s">
        <v>81</v>
      </c>
    </row>
    <row r="23" spans="2:5" ht="15.75" thickBot="1" x14ac:dyDescent="0.3">
      <c r="B23" s="53"/>
      <c r="C23" s="53"/>
      <c r="D23" s="53"/>
      <c r="E23" s="53"/>
    </row>
    <row r="24" spans="2:5" ht="15.75" thickBot="1" x14ac:dyDescent="0.3">
      <c r="B24" s="85" t="s">
        <v>58</v>
      </c>
      <c r="C24" s="118" t="s">
        <v>59</v>
      </c>
      <c r="D24" s="118" t="s">
        <v>60</v>
      </c>
      <c r="E24" s="117" t="s">
        <v>61</v>
      </c>
    </row>
    <row r="25" spans="2:5" x14ac:dyDescent="0.25">
      <c r="B25" s="107" t="s">
        <v>82</v>
      </c>
      <c r="C25" s="108" t="s">
        <v>83</v>
      </c>
      <c r="D25" s="108">
        <v>223</v>
      </c>
      <c r="E25" s="109">
        <v>669</v>
      </c>
    </row>
    <row r="26" spans="2:5" x14ac:dyDescent="0.25">
      <c r="B26" s="97" t="s">
        <v>84</v>
      </c>
      <c r="C26" s="110" t="s">
        <v>85</v>
      </c>
      <c r="D26" s="110">
        <v>12</v>
      </c>
      <c r="E26" s="111">
        <v>1260</v>
      </c>
    </row>
    <row r="27" spans="2:5" x14ac:dyDescent="0.25">
      <c r="B27" s="97" t="s">
        <v>86</v>
      </c>
      <c r="C27" s="110">
        <v>1</v>
      </c>
      <c r="D27" s="110">
        <v>60</v>
      </c>
      <c r="E27" s="111">
        <v>60</v>
      </c>
    </row>
    <row r="28" spans="2:5" x14ac:dyDescent="0.25">
      <c r="B28" s="97" t="s">
        <v>87</v>
      </c>
      <c r="C28" s="110">
        <v>1</v>
      </c>
      <c r="D28" s="110">
        <v>60</v>
      </c>
      <c r="E28" s="111">
        <v>60</v>
      </c>
    </row>
    <row r="29" spans="2:5" x14ac:dyDescent="0.25">
      <c r="B29" s="97" t="s">
        <v>88</v>
      </c>
      <c r="C29" s="110" t="s">
        <v>89</v>
      </c>
      <c r="D29" s="110">
        <v>20</v>
      </c>
      <c r="E29" s="111">
        <v>60</v>
      </c>
    </row>
    <row r="30" spans="2:5" x14ac:dyDescent="0.25">
      <c r="B30" s="97" t="s">
        <v>90</v>
      </c>
      <c r="C30" s="110">
        <v>2</v>
      </c>
      <c r="D30" s="110">
        <v>2</v>
      </c>
      <c r="E30" s="111">
        <v>4</v>
      </c>
    </row>
    <row r="31" spans="2:5" ht="15.75" thickBot="1" x14ac:dyDescent="0.3">
      <c r="B31" s="112" t="s">
        <v>91</v>
      </c>
      <c r="C31" s="113">
        <v>1</v>
      </c>
      <c r="D31" s="113">
        <v>45</v>
      </c>
      <c r="E31" s="114">
        <v>45</v>
      </c>
    </row>
    <row r="32" spans="2:5" ht="15.75" thickBot="1" x14ac:dyDescent="0.3">
      <c r="B32" s="115" t="s">
        <v>92</v>
      </c>
      <c r="C32" s="116"/>
      <c r="D32" s="116"/>
      <c r="E32" s="117" t="s">
        <v>93</v>
      </c>
    </row>
    <row r="33" spans="2:5" x14ac:dyDescent="0.25">
      <c r="B33" s="53"/>
      <c r="C33" s="53"/>
      <c r="D33" s="53"/>
      <c r="E33" s="53"/>
    </row>
    <row r="34" spans="2:5" ht="15.75" thickBot="1" x14ac:dyDescent="0.3">
      <c r="B34" s="53"/>
      <c r="C34" s="53"/>
      <c r="D34" s="53"/>
      <c r="E34" s="53"/>
    </row>
    <row r="35" spans="2:5" ht="15.75" thickBot="1" x14ac:dyDescent="0.3">
      <c r="B35" s="85" t="s">
        <v>94</v>
      </c>
      <c r="C35" s="118" t="s">
        <v>59</v>
      </c>
      <c r="D35" s="118" t="s">
        <v>60</v>
      </c>
      <c r="E35" s="117" t="s">
        <v>61</v>
      </c>
    </row>
    <row r="36" spans="2:5" ht="15.75" thickBot="1" x14ac:dyDescent="0.3">
      <c r="B36" s="119" t="s">
        <v>95</v>
      </c>
      <c r="C36" s="120">
        <v>1</v>
      </c>
      <c r="D36" s="120">
        <v>150</v>
      </c>
      <c r="E36" s="121">
        <v>150</v>
      </c>
    </row>
    <row r="37" spans="2:5" ht="15.75" thickBot="1" x14ac:dyDescent="0.3">
      <c r="B37" s="115" t="s">
        <v>96</v>
      </c>
      <c r="C37" s="116"/>
      <c r="D37" s="116"/>
      <c r="E37" s="117" t="s">
        <v>97</v>
      </c>
    </row>
    <row r="38" spans="2:5" ht="15.75" thickBot="1" x14ac:dyDescent="0.3">
      <c r="B38" s="53"/>
      <c r="C38" s="53"/>
      <c r="D38" s="53"/>
      <c r="E38" s="53"/>
    </row>
    <row r="39" spans="2:5" ht="15.75" thickBot="1" x14ac:dyDescent="0.3">
      <c r="B39" s="85" t="s">
        <v>98</v>
      </c>
      <c r="C39" s="118" t="s">
        <v>99</v>
      </c>
      <c r="D39" s="118" t="s">
        <v>100</v>
      </c>
      <c r="E39" s="117" t="s">
        <v>61</v>
      </c>
    </row>
    <row r="40" spans="2:5" x14ac:dyDescent="0.25">
      <c r="B40" s="107" t="s">
        <v>101</v>
      </c>
      <c r="C40" s="108" t="s">
        <v>102</v>
      </c>
      <c r="D40" s="108">
        <v>240</v>
      </c>
      <c r="E40" s="109">
        <v>4320</v>
      </c>
    </row>
    <row r="41" spans="2:5" x14ac:dyDescent="0.25">
      <c r="B41" s="97" t="s">
        <v>103</v>
      </c>
      <c r="C41" s="110" t="s">
        <v>104</v>
      </c>
      <c r="D41" s="110">
        <v>240</v>
      </c>
      <c r="E41" s="111">
        <v>8160</v>
      </c>
    </row>
    <row r="42" spans="2:5" x14ac:dyDescent="0.25">
      <c r="B42" s="97" t="s">
        <v>105</v>
      </c>
      <c r="C42" s="110" t="s">
        <v>106</v>
      </c>
      <c r="D42" s="110">
        <v>240</v>
      </c>
      <c r="E42" s="111">
        <v>2880</v>
      </c>
    </row>
    <row r="43" spans="2:5" x14ac:dyDescent="0.25">
      <c r="B43" s="97" t="s">
        <v>107</v>
      </c>
      <c r="C43" s="110" t="s">
        <v>108</v>
      </c>
      <c r="D43" s="110">
        <v>240</v>
      </c>
      <c r="E43" s="111">
        <v>10560</v>
      </c>
    </row>
    <row r="44" spans="2:5" x14ac:dyDescent="0.25">
      <c r="B44" s="97" t="s">
        <v>109</v>
      </c>
      <c r="C44" s="110" t="s">
        <v>110</v>
      </c>
      <c r="D44" s="110">
        <v>240</v>
      </c>
      <c r="E44" s="111">
        <v>1680</v>
      </c>
    </row>
    <row r="45" spans="2:5" ht="15.75" thickBot="1" x14ac:dyDescent="0.3">
      <c r="B45" s="112" t="s">
        <v>111</v>
      </c>
      <c r="C45" s="113" t="s">
        <v>112</v>
      </c>
      <c r="D45" s="113">
        <v>20</v>
      </c>
      <c r="E45" s="114">
        <v>80</v>
      </c>
    </row>
    <row r="46" spans="2:5" ht="15.75" thickBot="1" x14ac:dyDescent="0.3">
      <c r="B46" s="115" t="s">
        <v>113</v>
      </c>
      <c r="C46" s="116"/>
      <c r="D46" s="116"/>
      <c r="E46" s="117" t="s">
        <v>114</v>
      </c>
    </row>
    <row r="47" spans="2:5" ht="15.75" thickBot="1" x14ac:dyDescent="0.3">
      <c r="B47" s="53"/>
      <c r="C47" s="53"/>
      <c r="D47" s="53"/>
      <c r="E47" s="53"/>
    </row>
    <row r="48" spans="2:5" ht="15.75" thickBot="1" x14ac:dyDescent="0.3">
      <c r="B48" s="85" t="s">
        <v>115</v>
      </c>
      <c r="C48" s="117" t="s">
        <v>116</v>
      </c>
      <c r="D48" s="53"/>
      <c r="E48" s="53"/>
    </row>
    <row r="49" spans="2:5" x14ac:dyDescent="0.25">
      <c r="B49" s="122" t="s">
        <v>117</v>
      </c>
      <c r="C49" s="108">
        <v>369</v>
      </c>
      <c r="D49" s="53"/>
      <c r="E49" s="53"/>
    </row>
    <row r="50" spans="2:5" x14ac:dyDescent="0.25">
      <c r="B50" s="4" t="s">
        <v>118</v>
      </c>
      <c r="C50" s="110">
        <v>80</v>
      </c>
      <c r="D50" s="53"/>
      <c r="E50" s="53"/>
    </row>
    <row r="51" spans="2:5" x14ac:dyDescent="0.25">
      <c r="B51" s="4" t="s">
        <v>119</v>
      </c>
      <c r="C51" s="110">
        <v>2158</v>
      </c>
      <c r="D51" s="53"/>
      <c r="E51" s="53"/>
    </row>
    <row r="52" spans="2:5" x14ac:dyDescent="0.25">
      <c r="B52" s="4" t="s">
        <v>120</v>
      </c>
      <c r="C52" s="110">
        <v>150</v>
      </c>
      <c r="D52" s="53"/>
      <c r="E52" s="53"/>
    </row>
    <row r="53" spans="2:5" ht="15.75" thickBot="1" x14ac:dyDescent="0.3">
      <c r="B53" s="71" t="s">
        <v>121</v>
      </c>
      <c r="C53" s="113">
        <v>27680</v>
      </c>
      <c r="D53" s="53"/>
      <c r="E53" s="53"/>
    </row>
    <row r="54" spans="2:5" ht="15.75" thickBot="1" x14ac:dyDescent="0.3">
      <c r="B54" s="115" t="s">
        <v>122</v>
      </c>
      <c r="C54" s="117" t="s">
        <v>123</v>
      </c>
      <c r="D54" s="53"/>
      <c r="E54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botones y volante prueba 1 y 2 </vt:lpstr>
      <vt:lpstr>prueba 3 y 4 atencia fps</vt:lpstr>
      <vt:lpstr>prueba 3 bloque 2</vt:lpstr>
      <vt:lpstr>analisis de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Eduardo Albarracin Rodriguez</dc:creator>
  <cp:lastModifiedBy>Alejandro Eduardo Albarracin Rodriguez</cp:lastModifiedBy>
  <dcterms:created xsi:type="dcterms:W3CDTF">2026-05-21T16:30:20Z</dcterms:created>
  <dcterms:modified xsi:type="dcterms:W3CDTF">2026-05-23T17:46:57Z</dcterms:modified>
</cp:coreProperties>
</file>