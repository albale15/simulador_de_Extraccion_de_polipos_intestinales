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universidad\tesis\simulador_de_Extraccion_de_polipos_intestinales\"/>
    </mc:Choice>
  </mc:AlternateContent>
  <bookViews>
    <workbookView xWindow="0" yWindow="0" windowWidth="19560" windowHeight="507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2" l="1"/>
  <c r="E27" i="2"/>
  <c r="E25" i="2"/>
  <c r="E7" i="2"/>
  <c r="E23" i="2"/>
  <c r="E22" i="2"/>
  <c r="E6" i="2"/>
  <c r="E8" i="2"/>
  <c r="E9" i="2"/>
  <c r="E10" i="2"/>
  <c r="E11" i="2"/>
  <c r="E12" i="2"/>
  <c r="E14" i="2"/>
  <c r="E15" i="2"/>
  <c r="E16" i="2"/>
  <c r="E17" i="2"/>
  <c r="E18" i="2"/>
  <c r="E19" i="2"/>
  <c r="E20" i="2"/>
  <c r="E21" i="2"/>
  <c r="E31" i="2"/>
  <c r="E32" i="2"/>
  <c r="E33" i="2"/>
  <c r="E34" i="2"/>
  <c r="E35" i="2" l="1"/>
  <c r="F27" i="1"/>
  <c r="F26" i="1"/>
  <c r="F28" i="1"/>
  <c r="F23" i="1"/>
  <c r="F24" i="1"/>
  <c r="F22" i="1"/>
  <c r="F25" i="1" l="1"/>
  <c r="F6" i="1"/>
  <c r="F7" i="1"/>
  <c r="F8" i="1"/>
  <c r="F9" i="1"/>
  <c r="F10" i="1"/>
  <c r="F11" i="1"/>
  <c r="F12" i="1"/>
  <c r="F13" i="1"/>
  <c r="F29" i="1" s="1"/>
  <c r="F14" i="1"/>
  <c r="F15" i="1"/>
  <c r="F16" i="1"/>
  <c r="F17" i="1"/>
  <c r="F18" i="1"/>
  <c r="F5" i="1"/>
</calcChain>
</file>

<file path=xl/sharedStrings.xml><?xml version="1.0" encoding="utf-8"?>
<sst xmlns="http://schemas.openxmlformats.org/spreadsheetml/2006/main" count="72" uniqueCount="56">
  <si>
    <t>Materiales</t>
  </si>
  <si>
    <t>circuito de control electrónico</t>
  </si>
  <si>
    <t>STM32L432KC (Nucleo–L432KC)</t>
  </si>
  <si>
    <t>Resistencias de pull-up 10 kΩ</t>
  </si>
  <si>
    <t>Resistencias serie 100 Ω</t>
  </si>
  <si>
    <t>Vibrador tipo celular</t>
  </si>
  <si>
    <t>Diodo tvs</t>
  </si>
  <si>
    <t>Botones de acción momentánea</t>
  </si>
  <si>
    <t>transistor NPN</t>
  </si>
  <si>
    <t>PCB(version final)</t>
  </si>
  <si>
    <t>USB-C para STM32</t>
  </si>
  <si>
    <t>elementos mecanicos</t>
  </si>
  <si>
    <t>Filamento PETG</t>
  </si>
  <si>
    <t>1kg</t>
  </si>
  <si>
    <t>PLA</t>
  </si>
  <si>
    <t>20-30</t>
  </si>
  <si>
    <t>Tornillos M3 o M4</t>
  </si>
  <si>
    <t>Tuercas insertables M3 o M4</t>
  </si>
  <si>
    <t>Ejes metálicos para el encoder (en funcion del diseño)</t>
  </si>
  <si>
    <t>Rodamientos(en funcion del diseño)</t>
  </si>
  <si>
    <t>5mm-6mm</t>
  </si>
  <si>
    <t>Topes de goma</t>
  </si>
  <si>
    <t>Tubo flexible TPU</t>
  </si>
  <si>
    <t>Patas de silicona antideslizante</t>
  </si>
  <si>
    <t>imu</t>
  </si>
  <si>
    <t>sensores Flex</t>
  </si>
  <si>
    <t>Encoder magnético AS5600</t>
  </si>
  <si>
    <t>1 m</t>
  </si>
  <si>
    <t>total esperado:</t>
  </si>
  <si>
    <t>Capacitores cerámicos 10 nF</t>
  </si>
  <si>
    <t>Cables(version final)</t>
  </si>
  <si>
    <t>Precio por unidad/total</t>
  </si>
  <si>
    <t>total bs.</t>
  </si>
  <si>
    <t>Raspberry Pi 4</t>
  </si>
  <si>
    <t>Fuente de alimentación oficial para Raspberry Pi 4 (USB-C 5V 3A)</t>
  </si>
  <si>
    <t>Módulo de Procesamiento y Gráficos</t>
  </si>
  <si>
    <t>Placa de Desarrollo STM32 Nucleo-32:</t>
  </si>
  <si>
    <t>Cable USB a Micro-USB</t>
  </si>
  <si>
    <t>adaptador Micro-HDMI a HDMI</t>
  </si>
  <si>
    <t>Tiras de Espadines Hembra</t>
  </si>
  <si>
    <t>bornera conectores por tornillo</t>
  </si>
  <si>
    <t>Transistores TIP120</t>
  </si>
  <si>
    <t>Diodos Rectificadores 1N4007</t>
  </si>
  <si>
    <t>Resistencias de 4.7kΩ</t>
  </si>
  <si>
    <t>Resistencias de 10kΩ</t>
  </si>
  <si>
    <t>Resistencias de 1kΩ</t>
  </si>
  <si>
    <t>Resistencias de 220Ω</t>
  </si>
  <si>
    <t>botones autorretorno con tuerca</t>
  </si>
  <si>
    <t>Módulo Sensorial y Háptico</t>
  </si>
  <si>
    <t>Sensor Magnético I2C AS5600</t>
  </si>
  <si>
    <t>Motores Vibradores (Micro-motores tipo moneda)</t>
  </si>
  <si>
    <t>Tubo flexible TPU / manguera</t>
  </si>
  <si>
    <t>ventilador 5v</t>
  </si>
  <si>
    <t>MicroSD (Mínimo 32GB)</t>
  </si>
  <si>
    <t>LED RGB catodo comun</t>
  </si>
  <si>
    <t>Encoders Rotatorios Modulares HW-040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</si>
</sst>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2" borderId="5" xfId="0" applyFill="1" applyBorder="1"/>
    <xf numFmtId="0" fontId="0" fillId="2" borderId="6" xfId="0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29"/>
  <sheetViews>
    <sheetView workbookViewId="0">
      <selection activeCell="H3" sqref="H3"/>
    </sheetView>
  </sheetViews>
  <sheetFormatPr baseColWidth="10" defaultRowHeight="15" x14ac:dyDescent="0.25"/>
  <cols>
    <col min="3" max="3" width="34.28515625" customWidth="1"/>
    <col min="4" max="4" width="34.140625" style="1" customWidth="1"/>
    <col min="5" max="5" width="21.28515625" customWidth="1"/>
    <col min="8" max="8" width="16.140625" customWidth="1"/>
  </cols>
  <sheetData>
    <row r="3" spans="3:8" x14ac:dyDescent="0.25">
      <c r="C3" s="25" t="s">
        <v>0</v>
      </c>
      <c r="D3" s="25"/>
      <c r="E3" s="6" t="s">
        <v>31</v>
      </c>
      <c r="F3" s="6" t="s">
        <v>32</v>
      </c>
    </row>
    <row r="4" spans="3:8" x14ac:dyDescent="0.25">
      <c r="C4" s="26" t="s">
        <v>1</v>
      </c>
      <c r="D4" s="26"/>
      <c r="E4" s="2"/>
      <c r="F4" s="2"/>
    </row>
    <row r="5" spans="3:8" x14ac:dyDescent="0.25">
      <c r="C5" s="2" t="s">
        <v>2</v>
      </c>
      <c r="D5" s="3">
        <v>1</v>
      </c>
      <c r="E5" s="2">
        <v>80</v>
      </c>
      <c r="F5" s="2">
        <f>D5*E5</f>
        <v>80</v>
      </c>
    </row>
    <row r="6" spans="3:8" x14ac:dyDescent="0.25">
      <c r="C6" s="2" t="s">
        <v>26</v>
      </c>
      <c r="D6" s="3">
        <v>2</v>
      </c>
      <c r="E6" s="2">
        <v>29</v>
      </c>
      <c r="F6" s="2">
        <f t="shared" ref="F6:F18" si="0">D6*E6</f>
        <v>58</v>
      </c>
      <c r="H6" s="8"/>
    </row>
    <row r="7" spans="3:8" x14ac:dyDescent="0.25">
      <c r="C7" s="2" t="s">
        <v>29</v>
      </c>
      <c r="D7" s="3">
        <v>4</v>
      </c>
      <c r="E7" s="2">
        <v>2</v>
      </c>
      <c r="F7" s="2">
        <f t="shared" si="0"/>
        <v>8</v>
      </c>
    </row>
    <row r="8" spans="3:8" x14ac:dyDescent="0.25">
      <c r="C8" s="2" t="s">
        <v>3</v>
      </c>
      <c r="D8" s="3">
        <v>9</v>
      </c>
      <c r="E8" s="2">
        <v>1</v>
      </c>
      <c r="F8" s="2">
        <f t="shared" si="0"/>
        <v>9</v>
      </c>
    </row>
    <row r="9" spans="3:8" x14ac:dyDescent="0.25">
      <c r="C9" s="2" t="s">
        <v>4</v>
      </c>
      <c r="D9" s="3">
        <v>2</v>
      </c>
      <c r="E9" s="2">
        <v>1</v>
      </c>
      <c r="F9" s="2">
        <f t="shared" si="0"/>
        <v>2</v>
      </c>
    </row>
    <row r="10" spans="3:8" x14ac:dyDescent="0.25">
      <c r="C10" s="2" t="s">
        <v>7</v>
      </c>
      <c r="D10" s="3">
        <v>5</v>
      </c>
      <c r="E10" s="2">
        <v>11</v>
      </c>
      <c r="F10" s="2">
        <f t="shared" si="0"/>
        <v>55</v>
      </c>
    </row>
    <row r="11" spans="3:8" x14ac:dyDescent="0.25">
      <c r="C11" s="2" t="s">
        <v>6</v>
      </c>
      <c r="D11" s="3">
        <v>1</v>
      </c>
      <c r="E11" s="2">
        <v>2</v>
      </c>
      <c r="F11" s="2">
        <f t="shared" si="0"/>
        <v>2</v>
      </c>
    </row>
    <row r="12" spans="3:8" x14ac:dyDescent="0.25">
      <c r="C12" s="2" t="s">
        <v>5</v>
      </c>
      <c r="D12" s="3">
        <v>1</v>
      </c>
      <c r="E12" s="2">
        <v>5</v>
      </c>
      <c r="F12" s="2">
        <f t="shared" si="0"/>
        <v>5</v>
      </c>
    </row>
    <row r="13" spans="3:8" x14ac:dyDescent="0.25">
      <c r="C13" s="2" t="s">
        <v>8</v>
      </c>
      <c r="D13" s="3">
        <v>1</v>
      </c>
      <c r="E13" s="2">
        <v>15</v>
      </c>
      <c r="F13" s="2">
        <f t="shared" si="0"/>
        <v>15</v>
      </c>
    </row>
    <row r="14" spans="3:8" x14ac:dyDescent="0.25">
      <c r="C14" s="2" t="s">
        <v>24</v>
      </c>
      <c r="D14" s="3">
        <v>1</v>
      </c>
      <c r="E14" s="9">
        <v>67.5</v>
      </c>
      <c r="F14" s="2">
        <f t="shared" si="0"/>
        <v>67.5</v>
      </c>
    </row>
    <row r="15" spans="3:8" x14ac:dyDescent="0.25">
      <c r="C15" s="2" t="s">
        <v>25</v>
      </c>
      <c r="D15" s="3">
        <v>2</v>
      </c>
      <c r="E15" s="2">
        <v>113.5</v>
      </c>
      <c r="F15" s="2">
        <f t="shared" si="0"/>
        <v>227</v>
      </c>
    </row>
    <row r="16" spans="3:8" x14ac:dyDescent="0.25">
      <c r="C16" s="2" t="s">
        <v>9</v>
      </c>
      <c r="D16" s="3">
        <v>1</v>
      </c>
      <c r="E16" s="2">
        <v>50</v>
      </c>
      <c r="F16" s="2">
        <f t="shared" si="0"/>
        <v>50</v>
      </c>
    </row>
    <row r="17" spans="3:6" x14ac:dyDescent="0.25">
      <c r="C17" s="2" t="s">
        <v>10</v>
      </c>
      <c r="D17" s="3">
        <v>1</v>
      </c>
      <c r="E17" s="2">
        <v>25</v>
      </c>
      <c r="F17" s="2">
        <f t="shared" si="0"/>
        <v>25</v>
      </c>
    </row>
    <row r="18" spans="3:6" x14ac:dyDescent="0.25">
      <c r="C18" s="2" t="s">
        <v>30</v>
      </c>
      <c r="D18" s="3">
        <v>1</v>
      </c>
      <c r="E18" s="2">
        <v>30</v>
      </c>
      <c r="F18" s="2">
        <f t="shared" si="0"/>
        <v>30</v>
      </c>
    </row>
    <row r="19" spans="3:6" x14ac:dyDescent="0.25">
      <c r="C19" s="27" t="s">
        <v>11</v>
      </c>
      <c r="D19" s="27"/>
      <c r="E19" s="2"/>
      <c r="F19" s="2"/>
    </row>
    <row r="20" spans="3:6" x14ac:dyDescent="0.25">
      <c r="C20" s="2" t="s">
        <v>12</v>
      </c>
      <c r="D20" s="3" t="s">
        <v>13</v>
      </c>
      <c r="E20" s="2">
        <v>206</v>
      </c>
      <c r="F20" s="2">
        <v>206</v>
      </c>
    </row>
    <row r="21" spans="3:6" x14ac:dyDescent="0.25">
      <c r="C21" s="2" t="s">
        <v>14</v>
      </c>
      <c r="D21" s="3" t="s">
        <v>13</v>
      </c>
      <c r="E21" s="2">
        <v>223</v>
      </c>
      <c r="F21" s="2">
        <v>223</v>
      </c>
    </row>
    <row r="22" spans="3:6" x14ac:dyDescent="0.25">
      <c r="C22" s="2" t="s">
        <v>16</v>
      </c>
      <c r="D22" s="3" t="s">
        <v>15</v>
      </c>
      <c r="E22" s="2">
        <v>30</v>
      </c>
      <c r="F22" s="2">
        <f>E22</f>
        <v>30</v>
      </c>
    </row>
    <row r="23" spans="3:6" x14ac:dyDescent="0.25">
      <c r="C23" s="2" t="s">
        <v>17</v>
      </c>
      <c r="D23" s="3" t="s">
        <v>15</v>
      </c>
      <c r="E23" s="2">
        <v>15</v>
      </c>
      <c r="F23" s="2">
        <f t="shared" ref="F23:F24" si="1">E23</f>
        <v>15</v>
      </c>
    </row>
    <row r="24" spans="3:6" ht="30" x14ac:dyDescent="0.25">
      <c r="C24" s="4" t="s">
        <v>18</v>
      </c>
      <c r="D24" s="3" t="s">
        <v>20</v>
      </c>
      <c r="E24" s="2">
        <v>140</v>
      </c>
      <c r="F24" s="2">
        <f t="shared" si="1"/>
        <v>140</v>
      </c>
    </row>
    <row r="25" spans="3:6" x14ac:dyDescent="0.25">
      <c r="C25" s="2" t="s">
        <v>19</v>
      </c>
      <c r="D25" s="3">
        <v>2</v>
      </c>
      <c r="E25" s="2">
        <v>8</v>
      </c>
      <c r="F25" s="2">
        <f t="shared" ref="F25" si="2">D25*E25</f>
        <v>16</v>
      </c>
    </row>
    <row r="26" spans="3:6" x14ac:dyDescent="0.25">
      <c r="C26" s="2" t="s">
        <v>21</v>
      </c>
      <c r="D26" s="3">
        <v>2</v>
      </c>
      <c r="E26" s="2">
        <v>10</v>
      </c>
      <c r="F26" s="2">
        <f>D26*E26</f>
        <v>20</v>
      </c>
    </row>
    <row r="27" spans="3:6" x14ac:dyDescent="0.25">
      <c r="C27" s="2" t="s">
        <v>22</v>
      </c>
      <c r="D27" s="3" t="s">
        <v>27</v>
      </c>
      <c r="E27" s="2">
        <v>56</v>
      </c>
      <c r="F27" s="2">
        <f t="shared" ref="F27" si="3">E27</f>
        <v>56</v>
      </c>
    </row>
    <row r="28" spans="3:6" x14ac:dyDescent="0.25">
      <c r="C28" s="2" t="s">
        <v>23</v>
      </c>
      <c r="D28" s="3">
        <v>4</v>
      </c>
      <c r="E28" s="2">
        <v>15</v>
      </c>
      <c r="F28" s="2">
        <f t="shared" ref="F28" si="4">D28*E28</f>
        <v>60</v>
      </c>
    </row>
    <row r="29" spans="3:6" x14ac:dyDescent="0.25">
      <c r="D29" s="7"/>
      <c r="E29" s="5" t="s">
        <v>28</v>
      </c>
      <c r="F29" s="2">
        <f>SUM(F5:F28)</f>
        <v>1399.5</v>
      </c>
    </row>
  </sheetData>
  <mergeCells count="3">
    <mergeCell ref="C3:D3"/>
    <mergeCell ref="C4:D4"/>
    <mergeCell ref="C19:D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5"/>
  <sheetViews>
    <sheetView tabSelected="1" topLeftCell="A28" workbookViewId="0">
      <selection activeCell="H23" sqref="H23"/>
    </sheetView>
  </sheetViews>
  <sheetFormatPr baseColWidth="10" defaultRowHeight="15" x14ac:dyDescent="0.25"/>
  <cols>
    <col min="2" max="2" width="60" customWidth="1"/>
    <col min="3" max="3" width="16.28515625" customWidth="1"/>
    <col min="4" max="4" width="22.42578125" customWidth="1"/>
    <col min="5" max="5" width="16.140625" customWidth="1"/>
  </cols>
  <sheetData>
    <row r="3" spans="2:5" ht="15.75" thickBot="1" x14ac:dyDescent="0.3"/>
    <row r="4" spans="2:5" ht="15.75" thickBot="1" x14ac:dyDescent="0.3">
      <c r="B4" s="32" t="s">
        <v>0</v>
      </c>
      <c r="C4" s="33"/>
      <c r="D4" s="22" t="s">
        <v>31</v>
      </c>
      <c r="E4" s="23" t="s">
        <v>32</v>
      </c>
    </row>
    <row r="5" spans="2:5" ht="15.75" thickBot="1" x14ac:dyDescent="0.3">
      <c r="B5" s="28" t="s">
        <v>35</v>
      </c>
      <c r="C5" s="29"/>
      <c r="D5" s="20"/>
      <c r="E5" s="21"/>
    </row>
    <row r="6" spans="2:5" x14ac:dyDescent="0.25">
      <c r="B6" s="19" t="s">
        <v>33</v>
      </c>
      <c r="C6" s="17">
        <v>1</v>
      </c>
      <c r="D6" s="11">
        <v>1500</v>
      </c>
      <c r="E6" s="11">
        <f>C6*D6</f>
        <v>1500</v>
      </c>
    </row>
    <row r="7" spans="2:5" x14ac:dyDescent="0.25">
      <c r="B7" s="13" t="s">
        <v>52</v>
      </c>
      <c r="C7" s="12">
        <v>1</v>
      </c>
      <c r="D7" s="2">
        <v>18</v>
      </c>
      <c r="E7" s="2">
        <f>C7*D7</f>
        <v>18</v>
      </c>
    </row>
    <row r="8" spans="2:5" x14ac:dyDescent="0.25">
      <c r="B8" s="13" t="s">
        <v>34</v>
      </c>
      <c r="C8" s="12">
        <v>1</v>
      </c>
      <c r="D8" s="2">
        <v>185</v>
      </c>
      <c r="E8" s="2">
        <f t="shared" ref="E8:E23" si="0">C8*D8</f>
        <v>185</v>
      </c>
    </row>
    <row r="9" spans="2:5" x14ac:dyDescent="0.25">
      <c r="B9" s="2" t="s">
        <v>53</v>
      </c>
      <c r="C9" s="12">
        <v>1</v>
      </c>
      <c r="D9" s="2">
        <v>62.5</v>
      </c>
      <c r="E9" s="2">
        <f t="shared" si="0"/>
        <v>62.5</v>
      </c>
    </row>
    <row r="10" spans="2:5" x14ac:dyDescent="0.25">
      <c r="B10" s="2" t="s">
        <v>36</v>
      </c>
      <c r="C10" s="12">
        <v>1</v>
      </c>
      <c r="D10" s="2">
        <v>140</v>
      </c>
      <c r="E10" s="2">
        <f t="shared" si="0"/>
        <v>140</v>
      </c>
    </row>
    <row r="11" spans="2:5" x14ac:dyDescent="0.25">
      <c r="B11" s="2" t="s">
        <v>37</v>
      </c>
      <c r="C11" s="12">
        <v>1</v>
      </c>
      <c r="D11" s="2">
        <v>52</v>
      </c>
      <c r="E11" s="2">
        <f t="shared" si="0"/>
        <v>52</v>
      </c>
    </row>
    <row r="12" spans="2:5" ht="15.75" thickBot="1" x14ac:dyDescent="0.3">
      <c r="B12" s="14" t="s">
        <v>38</v>
      </c>
      <c r="C12" s="15">
        <v>1</v>
      </c>
      <c r="D12" s="10">
        <v>45</v>
      </c>
      <c r="E12" s="10">
        <f t="shared" si="0"/>
        <v>45</v>
      </c>
    </row>
    <row r="13" spans="2:5" ht="15.75" thickBot="1" x14ac:dyDescent="0.3">
      <c r="B13" s="28" t="s">
        <v>35</v>
      </c>
      <c r="C13" s="29"/>
      <c r="D13" s="20"/>
      <c r="E13" s="21"/>
    </row>
    <row r="14" spans="2:5" x14ac:dyDescent="0.25">
      <c r="B14" s="11" t="s">
        <v>39</v>
      </c>
      <c r="C14" s="17">
        <v>1</v>
      </c>
      <c r="D14" s="11">
        <v>4</v>
      </c>
      <c r="E14" s="11">
        <f t="shared" si="0"/>
        <v>4</v>
      </c>
    </row>
    <row r="15" spans="2:5" x14ac:dyDescent="0.25">
      <c r="B15" s="13" t="s">
        <v>40</v>
      </c>
      <c r="C15" s="12">
        <v>2</v>
      </c>
      <c r="D15" s="2">
        <v>2</v>
      </c>
      <c r="E15" s="2">
        <f t="shared" si="0"/>
        <v>4</v>
      </c>
    </row>
    <row r="16" spans="2:5" x14ac:dyDescent="0.25">
      <c r="B16" s="2" t="s">
        <v>41</v>
      </c>
      <c r="C16" s="12">
        <v>2</v>
      </c>
      <c r="D16" s="2">
        <v>3</v>
      </c>
      <c r="E16" s="2">
        <f t="shared" si="0"/>
        <v>6</v>
      </c>
    </row>
    <row r="17" spans="2:5" x14ac:dyDescent="0.25">
      <c r="B17" s="2" t="s">
        <v>42</v>
      </c>
      <c r="C17" s="12">
        <v>2</v>
      </c>
      <c r="D17" s="9">
        <v>1</v>
      </c>
      <c r="E17" s="2">
        <f t="shared" si="0"/>
        <v>2</v>
      </c>
    </row>
    <row r="18" spans="2:5" x14ac:dyDescent="0.25">
      <c r="B18" s="2" t="s">
        <v>43</v>
      </c>
      <c r="C18" s="12">
        <v>4</v>
      </c>
      <c r="D18" s="2">
        <v>1</v>
      </c>
      <c r="E18" s="2">
        <f t="shared" si="0"/>
        <v>4</v>
      </c>
    </row>
    <row r="19" spans="2:5" x14ac:dyDescent="0.25">
      <c r="B19" s="2" t="s">
        <v>44</v>
      </c>
      <c r="C19" s="12">
        <v>5</v>
      </c>
      <c r="D19" s="2">
        <v>1</v>
      </c>
      <c r="E19" s="2">
        <f t="shared" si="0"/>
        <v>5</v>
      </c>
    </row>
    <row r="20" spans="2:5" x14ac:dyDescent="0.25">
      <c r="B20" s="2" t="s">
        <v>45</v>
      </c>
      <c r="C20" s="12">
        <v>2</v>
      </c>
      <c r="D20" s="2">
        <v>1</v>
      </c>
      <c r="E20" s="2">
        <f t="shared" si="0"/>
        <v>2</v>
      </c>
    </row>
    <row r="21" spans="2:5" x14ac:dyDescent="0.25">
      <c r="B21" s="2" t="s">
        <v>46</v>
      </c>
      <c r="C21" s="12">
        <v>3</v>
      </c>
      <c r="D21" s="2">
        <v>1</v>
      </c>
      <c r="E21" s="2">
        <f t="shared" si="0"/>
        <v>3</v>
      </c>
    </row>
    <row r="22" spans="2:5" x14ac:dyDescent="0.25">
      <c r="B22" s="2" t="s">
        <v>54</v>
      </c>
      <c r="C22" s="12">
        <v>1</v>
      </c>
      <c r="D22" s="2">
        <v>1</v>
      </c>
      <c r="E22" s="2">
        <f t="shared" si="0"/>
        <v>1</v>
      </c>
    </row>
    <row r="23" spans="2:5" ht="15.75" thickBot="1" x14ac:dyDescent="0.3">
      <c r="B23" s="10" t="s">
        <v>47</v>
      </c>
      <c r="C23" s="15">
        <v>4</v>
      </c>
      <c r="D23" s="10">
        <v>5</v>
      </c>
      <c r="E23" s="10">
        <f t="shared" si="0"/>
        <v>20</v>
      </c>
    </row>
    <row r="24" spans="2:5" ht="15.75" thickBot="1" x14ac:dyDescent="0.3">
      <c r="B24" s="30" t="s">
        <v>48</v>
      </c>
      <c r="C24" s="31"/>
      <c r="D24" s="20"/>
      <c r="E24" s="21"/>
    </row>
    <row r="25" spans="2:5" x14ac:dyDescent="0.25">
      <c r="B25" s="11" t="s">
        <v>49</v>
      </c>
      <c r="C25" s="17">
        <v>2</v>
      </c>
      <c r="D25" s="11">
        <v>25</v>
      </c>
      <c r="E25" s="11">
        <f>C25*D25</f>
        <v>50</v>
      </c>
    </row>
    <row r="26" spans="2:5" x14ac:dyDescent="0.25">
      <c r="B26" s="2" t="s">
        <v>55</v>
      </c>
      <c r="C26" s="12">
        <v>2</v>
      </c>
      <c r="D26" s="2">
        <v>20</v>
      </c>
      <c r="E26" s="2">
        <f t="shared" ref="E26:E27" si="1">C26*D26</f>
        <v>40</v>
      </c>
    </row>
    <row r="27" spans="2:5" ht="15.75" thickBot="1" x14ac:dyDescent="0.3">
      <c r="B27" s="10" t="s">
        <v>50</v>
      </c>
      <c r="C27" s="15">
        <v>2</v>
      </c>
      <c r="D27" s="10">
        <v>5</v>
      </c>
      <c r="E27" s="10">
        <f t="shared" si="1"/>
        <v>10</v>
      </c>
    </row>
    <row r="28" spans="2:5" ht="15.75" thickBot="1" x14ac:dyDescent="0.3">
      <c r="B28" s="30" t="s">
        <v>11</v>
      </c>
      <c r="C28" s="31"/>
      <c r="D28" s="20"/>
      <c r="E28" s="21"/>
    </row>
    <row r="29" spans="2:5" x14ac:dyDescent="0.25">
      <c r="B29" s="16" t="s">
        <v>12</v>
      </c>
      <c r="C29" s="17" t="s">
        <v>13</v>
      </c>
      <c r="D29" s="11">
        <v>1</v>
      </c>
      <c r="E29" s="11">
        <v>206</v>
      </c>
    </row>
    <row r="30" spans="2:5" x14ac:dyDescent="0.25">
      <c r="B30" s="18" t="s">
        <v>14</v>
      </c>
      <c r="C30" s="12" t="s">
        <v>13</v>
      </c>
      <c r="D30" s="2">
        <v>1</v>
      </c>
      <c r="E30" s="2">
        <v>223</v>
      </c>
    </row>
    <row r="31" spans="2:5" x14ac:dyDescent="0.25">
      <c r="B31" s="18" t="s">
        <v>16</v>
      </c>
      <c r="C31" s="12">
        <v>10</v>
      </c>
      <c r="D31" s="2">
        <v>1</v>
      </c>
      <c r="E31" s="2">
        <f>D31</f>
        <v>1</v>
      </c>
    </row>
    <row r="32" spans="2:5" x14ac:dyDescent="0.25">
      <c r="B32" s="18" t="s">
        <v>17</v>
      </c>
      <c r="C32" s="12">
        <v>10</v>
      </c>
      <c r="D32" s="2">
        <v>1</v>
      </c>
      <c r="E32" s="2">
        <f t="shared" ref="E32" si="2">D32</f>
        <v>1</v>
      </c>
    </row>
    <row r="33" spans="2:5" x14ac:dyDescent="0.25">
      <c r="B33" s="18" t="s">
        <v>51</v>
      </c>
      <c r="C33" s="12" t="s">
        <v>27</v>
      </c>
      <c r="D33" s="2"/>
      <c r="E33" s="2">
        <f t="shared" ref="E33" si="3">D33</f>
        <v>0</v>
      </c>
    </row>
    <row r="34" spans="2:5" x14ac:dyDescent="0.25">
      <c r="B34" s="18" t="s">
        <v>23</v>
      </c>
      <c r="C34" s="12">
        <v>4</v>
      </c>
      <c r="D34" s="2"/>
      <c r="E34" s="2">
        <f t="shared" ref="E34" si="4">C34*D34</f>
        <v>0</v>
      </c>
    </row>
    <row r="35" spans="2:5" x14ac:dyDescent="0.25">
      <c r="B35" s="2"/>
      <c r="C35" s="24"/>
      <c r="D35" s="5" t="s">
        <v>28</v>
      </c>
      <c r="E35" s="2">
        <f>SUM(E6:E34)</f>
        <v>2584.5</v>
      </c>
    </row>
  </sheetData>
  <mergeCells count="5">
    <mergeCell ref="B13:C13"/>
    <mergeCell ref="B24:C24"/>
    <mergeCell ref="B4:C4"/>
    <mergeCell ref="B5:C5"/>
    <mergeCell ref="B28:C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Eduardo Albarracin Rodriguez</dc:creator>
  <cp:lastModifiedBy>Alejandro Eduardo Albarracin Rodriguez</cp:lastModifiedBy>
  <dcterms:created xsi:type="dcterms:W3CDTF">2025-11-17T15:25:12Z</dcterms:created>
  <dcterms:modified xsi:type="dcterms:W3CDTF">2026-04-10T01:55:38Z</dcterms:modified>
</cp:coreProperties>
</file>